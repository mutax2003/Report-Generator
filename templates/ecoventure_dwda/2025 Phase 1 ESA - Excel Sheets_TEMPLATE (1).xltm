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PauletteBouchard\Documents\WORKING\Katie\"/>
    </mc:Choice>
  </mc:AlternateContent>
  <xr:revisionPtr revIDLastSave="0" documentId="8_{476B1337-4EB7-4D41-BEA0-FE3A97A596B1}" xr6:coauthVersionLast="47" xr6:coauthVersionMax="47" xr10:uidLastSave="{00000000-0000-0000-0000-000000000000}"/>
  <bookViews>
    <workbookView xWindow="-108" yWindow="-108" windowWidth="23256" windowHeight="12456" firstSheet="7" activeTab="10" xr2:uid="{A704ABD6-C411-4C1E-B150-41DD81D62E68}"/>
  </bookViews>
  <sheets>
    <sheet name="Notes" sheetId="6" r:id="rId1"/>
    <sheet name="Phase 1 Data" sheetId="1" r:id="rId2"/>
    <sheet name="well report" sheetId="4" r:id="rId3"/>
    <sheet name="annualProductionByLic report" sheetId="5" r:id="rId4"/>
    <sheet name="Mud Tally Page - DDR" sheetId="7" r:id="rId5"/>
    <sheet name="Mud Tally Page - Tours" sheetId="8" r:id="rId6"/>
    <sheet name="Muds Comparison" sheetId="9" r:id="rId7"/>
    <sheet name="References &amp; Compliance Option" sheetId="10" r:id="rId8"/>
    <sheet name="Useful Calculations" sheetId="11" r:id="rId9"/>
    <sheet name="Muds " sheetId="12" r:id="rId10"/>
    <sheet name="Metal Calcs (Options 1 &amp;2)" sheetId="13" r:id="rId11"/>
    <sheet name="Salt Calculations (Option 2)" sheetId="14" r:id="rId12"/>
    <sheet name="Drill Stem Test Returns" sheetId="15" r:id="rId13"/>
    <sheet name="Lists" sheetId="2" r:id="rId14"/>
  </sheets>
  <externalReferences>
    <externalReference r:id="rId15"/>
  </externalReferences>
  <definedNames>
    <definedName name="ExternalData_1" localSheetId="3" hidden="1">'annualProductionByLic report'!$A$1:$K$94</definedName>
    <definedName name="ExternalData_1" localSheetId="2" hidden="1">'well report'!$A$1:$Y$12</definedName>
    <definedName name="_xlnm.Print_Area" localSheetId="12">'Drill Stem Test Returns'!$B$1:$J$95</definedName>
    <definedName name="_xlnm.Print_Area" localSheetId="10">'Metal Calcs (Options 1 &amp;2)'!$B$1:$N$110</definedName>
    <definedName name="_xlnm.Print_Area" localSheetId="11">'Salt Calculations (Option 2)'!$B$1:$J$116</definedName>
    <definedName name="TblAboveBelow">Table24[Above Below]</definedName>
    <definedName name="TblActivityType">Table4[Activity Type]</definedName>
    <definedName name="TblAerialType">Table19[Aerial Type]</definedName>
    <definedName name="TblAssetStatus">Table3[Asset Status]</definedName>
    <definedName name="TblAssetType">Table2[Asset Type]</definedName>
    <definedName name="TblDisposalMethod">Table20[Disposal Method]</definedName>
    <definedName name="TblDrillingType">Table18[Drilling Type]</definedName>
    <definedName name="TblFacilityTypes">Table14[Facility Types]</definedName>
    <definedName name="TblFlarePits">Table23[Flare Pits]</definedName>
    <definedName name="TblFluidDisposal">Table12[Fluid Disposal]</definedName>
    <definedName name="TblOptions">Table11[List all that apply]</definedName>
    <definedName name="TblP1Results">Table28[P1 results]</definedName>
    <definedName name="TblResponse">Table6[Response]</definedName>
    <definedName name="TblResponse2">Table9[Response2]</definedName>
    <definedName name="TblResponse3">Table15[Response3]</definedName>
    <definedName name="TblSiteInfoPS">Table22[Site Info - P&amp;S]</definedName>
    <definedName name="TblStakeholderType">Table17[Stakeholder Type]</definedName>
    <definedName name="TblStructureStatus">Table25[Structure Status]</definedName>
    <definedName name="TblSumpType">Table21[Sump Type]</definedName>
    <definedName name="TblSurrLandUse">Table26[Surrounding Land Use]</definedName>
    <definedName name="TblSurrLandUse2">Table27[Surrounding Land Use2]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70" i="15" l="1"/>
  <c r="H70" i="15" s="1"/>
  <c r="H69" i="15"/>
  <c r="D69" i="15"/>
  <c r="D68" i="15"/>
  <c r="H68" i="15" s="1"/>
  <c r="H67" i="15"/>
  <c r="D67" i="15"/>
  <c r="D66" i="15"/>
  <c r="H66" i="15" s="1"/>
  <c r="H65" i="15"/>
  <c r="H71" i="15" s="1"/>
  <c r="H75" i="15" s="1"/>
  <c r="D65" i="15"/>
  <c r="J44" i="15"/>
  <c r="D44" i="15"/>
  <c r="D43" i="15"/>
  <c r="J43" i="15" s="1"/>
  <c r="J42" i="15"/>
  <c r="D42" i="15"/>
  <c r="D41" i="15"/>
  <c r="J41" i="15" s="1"/>
  <c r="J40" i="15"/>
  <c r="D40" i="15"/>
  <c r="D39" i="15"/>
  <c r="J39" i="15" s="1"/>
  <c r="D27" i="15"/>
  <c r="J27" i="15" s="1"/>
  <c r="D26" i="15"/>
  <c r="J26" i="15" s="1"/>
  <c r="J25" i="15"/>
  <c r="D25" i="15"/>
  <c r="D24" i="15"/>
  <c r="J24" i="15" s="1"/>
  <c r="D23" i="15"/>
  <c r="J23" i="15" s="1"/>
  <c r="D22" i="15"/>
  <c r="J22" i="15" s="1"/>
  <c r="H105" i="14"/>
  <c r="H103" i="14"/>
  <c r="H102" i="14"/>
  <c r="H101" i="14"/>
  <c r="H99" i="14"/>
  <c r="H98" i="14"/>
  <c r="H97" i="14"/>
  <c r="H96" i="14"/>
  <c r="H95" i="14"/>
  <c r="H94" i="14"/>
  <c r="H91" i="14"/>
  <c r="H90" i="14"/>
  <c r="H88" i="14"/>
  <c r="H87" i="14"/>
  <c r="H86" i="14"/>
  <c r="H84" i="14"/>
  <c r="H83" i="14"/>
  <c r="H82" i="14"/>
  <c r="H81" i="14"/>
  <c r="H80" i="14"/>
  <c r="H79" i="14"/>
  <c r="H107" i="14" s="1"/>
  <c r="H109" i="14" s="1"/>
  <c r="H46" i="14"/>
  <c r="H44" i="14"/>
  <c r="H43" i="14"/>
  <c r="H42" i="14"/>
  <c r="H40" i="14"/>
  <c r="H39" i="14"/>
  <c r="H38" i="14"/>
  <c r="H37" i="14"/>
  <c r="H36" i="14"/>
  <c r="H35" i="14"/>
  <c r="H32" i="14"/>
  <c r="H31" i="14"/>
  <c r="H29" i="14"/>
  <c r="H28" i="14"/>
  <c r="H27" i="14"/>
  <c r="H25" i="14"/>
  <c r="H24" i="14"/>
  <c r="H23" i="14"/>
  <c r="H22" i="14"/>
  <c r="H48" i="14" s="1"/>
  <c r="H50" i="14" s="1"/>
  <c r="H21" i="14"/>
  <c r="H20" i="14"/>
  <c r="I91" i="13"/>
  <c r="M76" i="13"/>
  <c r="I53" i="13"/>
  <c r="M38" i="13"/>
  <c r="I20" i="13"/>
  <c r="E20" i="11"/>
  <c r="E21" i="11" s="1"/>
  <c r="E15" i="11"/>
  <c r="E9" i="11"/>
  <c r="T28" i="8"/>
  <c r="S28" i="8"/>
  <c r="V28" i="8" s="1"/>
  <c r="Q28" i="8"/>
  <c r="S27" i="8"/>
  <c r="V27" i="8" s="1"/>
  <c r="Q27" i="8"/>
  <c r="T27" i="8" s="1"/>
  <c r="V26" i="8"/>
  <c r="U26" i="8"/>
  <c r="S26" i="8"/>
  <c r="Q26" i="8"/>
  <c r="T26" i="8" s="1"/>
  <c r="S25" i="8"/>
  <c r="V25" i="8" s="1"/>
  <c r="Q25" i="8"/>
  <c r="T25" i="8" s="1"/>
  <c r="T24" i="8"/>
  <c r="S24" i="8"/>
  <c r="V24" i="8" s="1"/>
  <c r="Q24" i="8"/>
  <c r="V23" i="8"/>
  <c r="U23" i="8"/>
  <c r="T23" i="8"/>
  <c r="S23" i="8"/>
  <c r="Q23" i="8"/>
  <c r="S22" i="8"/>
  <c r="V22" i="8" s="1"/>
  <c r="Q22" i="8"/>
  <c r="T22" i="8" s="1"/>
  <c r="V21" i="8"/>
  <c r="S21" i="8"/>
  <c r="U21" i="8" s="1"/>
  <c r="Q21" i="8"/>
  <c r="T21" i="8" s="1"/>
  <c r="T20" i="8"/>
  <c r="S20" i="8"/>
  <c r="U20" i="8" s="1"/>
  <c r="Q20" i="8"/>
  <c r="U19" i="8"/>
  <c r="S19" i="8"/>
  <c r="V19" i="8" s="1"/>
  <c r="Q19" i="8"/>
  <c r="T19" i="8" s="1"/>
  <c r="V18" i="8"/>
  <c r="U18" i="8"/>
  <c r="S18" i="8"/>
  <c r="Q18" i="8"/>
  <c r="T18" i="8" s="1"/>
  <c r="S17" i="8"/>
  <c r="V17" i="8" s="1"/>
  <c r="Q17" i="8"/>
  <c r="T17" i="8" s="1"/>
  <c r="T16" i="8"/>
  <c r="S16" i="8"/>
  <c r="V16" i="8" s="1"/>
  <c r="Q16" i="8"/>
  <c r="V15" i="8"/>
  <c r="U15" i="8"/>
  <c r="T15" i="8"/>
  <c r="S15" i="8"/>
  <c r="Q15" i="8"/>
  <c r="S14" i="8"/>
  <c r="V14" i="8" s="1"/>
  <c r="Q14" i="8"/>
  <c r="T14" i="8" s="1"/>
  <c r="V13" i="8"/>
  <c r="S13" i="8"/>
  <c r="U13" i="8" s="1"/>
  <c r="Q13" i="8"/>
  <c r="T13" i="8" s="1"/>
  <c r="T12" i="8"/>
  <c r="S12" i="8"/>
  <c r="U12" i="8" s="1"/>
  <c r="Q12" i="8"/>
  <c r="U11" i="8"/>
  <c r="S11" i="8"/>
  <c r="V11" i="8" s="1"/>
  <c r="Q11" i="8"/>
  <c r="T11" i="8" s="1"/>
  <c r="V10" i="8"/>
  <c r="U10" i="8"/>
  <c r="S10" i="8"/>
  <c r="Q10" i="8"/>
  <c r="T10" i="8" s="1"/>
  <c r="S9" i="8"/>
  <c r="V9" i="8" s="1"/>
  <c r="Q9" i="8"/>
  <c r="T9" i="8" s="1"/>
  <c r="T8" i="8"/>
  <c r="S8" i="8"/>
  <c r="V8" i="8" s="1"/>
  <c r="Q8" i="8"/>
  <c r="V7" i="8"/>
  <c r="U7" i="8"/>
  <c r="T7" i="8"/>
  <c r="S7" i="8"/>
  <c r="Q7" i="8"/>
  <c r="S6" i="8"/>
  <c r="V6" i="8" s="1"/>
  <c r="Q6" i="8"/>
  <c r="T6" i="8" s="1"/>
  <c r="U28" i="7"/>
  <c r="S28" i="7"/>
  <c r="V28" i="7" s="1"/>
  <c r="Q28" i="7"/>
  <c r="T28" i="7" s="1"/>
  <c r="V27" i="7"/>
  <c r="U27" i="7"/>
  <c r="S27" i="7"/>
  <c r="Q27" i="7"/>
  <c r="T27" i="7" s="1"/>
  <c r="S26" i="7"/>
  <c r="V26" i="7" s="1"/>
  <c r="Q26" i="7"/>
  <c r="T26" i="7" s="1"/>
  <c r="V25" i="7"/>
  <c r="T25" i="7"/>
  <c r="S25" i="7"/>
  <c r="U25" i="7" s="1"/>
  <c r="Q25" i="7"/>
  <c r="T24" i="7"/>
  <c r="S24" i="7"/>
  <c r="U24" i="7" s="1"/>
  <c r="Q24" i="7"/>
  <c r="V23" i="7"/>
  <c r="S23" i="7"/>
  <c r="U23" i="7" s="1"/>
  <c r="Q23" i="7"/>
  <c r="T23" i="7" s="1"/>
  <c r="U22" i="7"/>
  <c r="S22" i="7"/>
  <c r="V22" i="7" s="1"/>
  <c r="Q22" i="7"/>
  <c r="T22" i="7" s="1"/>
  <c r="S21" i="7"/>
  <c r="V21" i="7" s="1"/>
  <c r="Q21" i="7"/>
  <c r="T21" i="7" s="1"/>
  <c r="U20" i="7"/>
  <c r="S20" i="7"/>
  <c r="V20" i="7" s="1"/>
  <c r="Q20" i="7"/>
  <c r="T20" i="7" s="1"/>
  <c r="V19" i="7"/>
  <c r="U19" i="7"/>
  <c r="T19" i="7"/>
  <c r="S19" i="7"/>
  <c r="Q19" i="7"/>
  <c r="S18" i="7"/>
  <c r="V18" i="7" s="1"/>
  <c r="Q18" i="7"/>
  <c r="T18" i="7" s="1"/>
  <c r="V17" i="7"/>
  <c r="T17" i="7"/>
  <c r="S17" i="7"/>
  <c r="U17" i="7" s="1"/>
  <c r="Q17" i="7"/>
  <c r="T16" i="7"/>
  <c r="S16" i="7"/>
  <c r="V16" i="7" s="1"/>
  <c r="Q16" i="7"/>
  <c r="V15" i="7"/>
  <c r="S15" i="7"/>
  <c r="U15" i="7" s="1"/>
  <c r="Q15" i="7"/>
  <c r="T15" i="7" s="1"/>
  <c r="S14" i="7"/>
  <c r="U14" i="7" s="1"/>
  <c r="Q14" i="7"/>
  <c r="T14" i="7" s="1"/>
  <c r="S13" i="7"/>
  <c r="V13" i="7" s="1"/>
  <c r="Q13" i="7"/>
  <c r="T13" i="7" s="1"/>
  <c r="U12" i="7"/>
  <c r="S12" i="7"/>
  <c r="V12" i="7" s="1"/>
  <c r="Q12" i="7"/>
  <c r="T12" i="7" s="1"/>
  <c r="V11" i="7"/>
  <c r="U11" i="7"/>
  <c r="S11" i="7"/>
  <c r="Q11" i="7"/>
  <c r="T11" i="7" s="1"/>
  <c r="S10" i="7"/>
  <c r="V10" i="7" s="1"/>
  <c r="Q10" i="7"/>
  <c r="T10" i="7" s="1"/>
  <c r="V9" i="7"/>
  <c r="T9" i="7"/>
  <c r="S9" i="7"/>
  <c r="U9" i="7" s="1"/>
  <c r="Q9" i="7"/>
  <c r="T8" i="7"/>
  <c r="S8" i="7"/>
  <c r="V8" i="7" s="1"/>
  <c r="Q8" i="7"/>
  <c r="V7" i="7"/>
  <c r="S7" i="7"/>
  <c r="U7" i="7" s="1"/>
  <c r="Q7" i="7"/>
  <c r="T7" i="7" s="1"/>
  <c r="S6" i="7"/>
  <c r="V6" i="7" s="1"/>
  <c r="Q6" i="7"/>
  <c r="T6" i="7" s="1"/>
  <c r="J45" i="15" l="1"/>
  <c r="J28" i="15"/>
  <c r="U28" i="8"/>
  <c r="U9" i="8"/>
  <c r="V12" i="8"/>
  <c r="U17" i="8"/>
  <c r="V20" i="8"/>
  <c r="U25" i="8"/>
  <c r="U6" i="8"/>
  <c r="U14" i="8"/>
  <c r="U22" i="8"/>
  <c r="U27" i="8"/>
  <c r="U8" i="8"/>
  <c r="U16" i="8"/>
  <c r="U24" i="8"/>
  <c r="U8" i="7"/>
  <c r="U6" i="7"/>
  <c r="V14" i="7"/>
  <c r="U16" i="7"/>
  <c r="U13" i="7"/>
  <c r="U21" i="7"/>
  <c r="V24" i="7"/>
  <c r="U10" i="7"/>
  <c r="U18" i="7"/>
  <c r="U26" i="7"/>
  <c r="T6" i="1"/>
  <c r="T7" i="1"/>
  <c r="T8" i="1"/>
  <c r="T9" i="1"/>
  <c r="T10" i="1"/>
  <c r="T11" i="1"/>
  <c r="T12" i="1"/>
  <c r="T13" i="1"/>
  <c r="T14" i="1"/>
  <c r="T15" i="1"/>
  <c r="T16" i="1"/>
  <c r="T17" i="1"/>
  <c r="T18" i="1"/>
  <c r="T19" i="1"/>
  <c r="T20" i="1"/>
  <c r="T21" i="1"/>
  <c r="W5" i="1"/>
  <c r="W6" i="1"/>
  <c r="W7" i="1"/>
  <c r="W8" i="1"/>
  <c r="W9" i="1"/>
  <c r="W10" i="1"/>
  <c r="W11" i="1"/>
  <c r="W12" i="1"/>
  <c r="W13" i="1"/>
  <c r="W14" i="1"/>
  <c r="W15" i="1"/>
  <c r="W16" i="1"/>
  <c r="W17" i="1"/>
  <c r="W18" i="1"/>
  <c r="W19" i="1"/>
  <c r="W20" i="1"/>
  <c r="W21" i="1"/>
  <c r="V5" i="1"/>
  <c r="V6" i="1"/>
  <c r="V7" i="1"/>
  <c r="V8" i="1"/>
  <c r="V9" i="1"/>
  <c r="V10" i="1"/>
  <c r="V11" i="1"/>
  <c r="V12" i="1"/>
  <c r="V13" i="1"/>
  <c r="V14" i="1"/>
  <c r="V15" i="1"/>
  <c r="V16" i="1"/>
  <c r="V17" i="1"/>
  <c r="V18" i="1"/>
  <c r="V19" i="1"/>
  <c r="V20" i="1"/>
  <c r="V21" i="1"/>
  <c r="U5" i="1"/>
  <c r="U6" i="1"/>
  <c r="U7" i="1"/>
  <c r="U8" i="1"/>
  <c r="U9" i="1"/>
  <c r="U10" i="1"/>
  <c r="U11" i="1"/>
  <c r="U12" i="1"/>
  <c r="U13" i="1"/>
  <c r="U14" i="1"/>
  <c r="U15" i="1"/>
  <c r="U16" i="1"/>
  <c r="U17" i="1"/>
  <c r="U18" i="1"/>
  <c r="U19" i="1"/>
  <c r="U20" i="1"/>
  <c r="U21" i="1"/>
  <c r="T5" i="1"/>
  <c r="F6" i="1"/>
  <c r="F7" i="1"/>
  <c r="F8" i="1"/>
  <c r="F9" i="1"/>
  <c r="F10" i="1"/>
  <c r="F11" i="1"/>
  <c r="F12" i="1"/>
  <c r="F13" i="1"/>
  <c r="F14" i="1"/>
  <c r="F15" i="1"/>
  <c r="F16" i="1"/>
  <c r="F17" i="1"/>
  <c r="F18" i="1"/>
  <c r="F19" i="1"/>
  <c r="F20" i="1"/>
  <c r="F21" i="1"/>
  <c r="F5" i="1"/>
  <c r="E6" i="1"/>
  <c r="E7" i="1"/>
  <c r="E8" i="1"/>
  <c r="E9" i="1"/>
  <c r="E10" i="1"/>
  <c r="E11" i="1"/>
  <c r="E12" i="1"/>
  <c r="E13" i="1"/>
  <c r="E14" i="1"/>
  <c r="E15" i="1"/>
  <c r="E16" i="1"/>
  <c r="E17" i="1"/>
  <c r="E18" i="1"/>
  <c r="E19" i="1"/>
  <c r="E20" i="1"/>
  <c r="E21" i="1"/>
  <c r="E5" i="1"/>
  <c r="C6" i="1"/>
  <c r="C7" i="1"/>
  <c r="C8" i="1"/>
  <c r="C9" i="1"/>
  <c r="C10" i="1"/>
  <c r="C11" i="1"/>
  <c r="C12" i="1"/>
  <c r="C13" i="1"/>
  <c r="C14" i="1"/>
  <c r="C15" i="1"/>
  <c r="C16" i="1"/>
  <c r="C17" i="1"/>
  <c r="C18" i="1"/>
  <c r="C19" i="1"/>
  <c r="C20" i="1"/>
  <c r="C21" i="1"/>
  <c r="C5"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F9DE93D-7D16-406F-BE1A-5F3B3728743C}" keepAlive="1" name="Query - annualProductionByLic report" description="Connection to the 'annualProductionByLic report' query in the workbook." type="5" refreshedVersion="6" background="1" saveData="1">
    <dbPr connection="Provider=Microsoft.Mashup.OleDb.1;Data Source=$Workbook$;Location=&quot;annualProductionByLic report&quot;;Extended Properties=&quot;&quot;" command="SELECT * FROM [annualProductionByLic report]"/>
  </connection>
  <connection id="2" xr16:uid="{9FE50C4C-A8B3-45F8-B1F2-0B407D48DDF8}" keepAlive="1" name="Query - well report" description="Connection to the 'well report' query in the workbook." type="5" refreshedVersion="6" background="1" saveData="1">
    <dbPr connection="Provider=Microsoft.Mashup.OleDb.1;Data Source=$Workbook$;Location=&quot;well report&quot;;Extended Properties=&quot;&quot;" command="SELECT * FROM [well report]"/>
  </connection>
</connections>
</file>

<file path=xl/sharedStrings.xml><?xml version="1.0" encoding="utf-8"?>
<sst xmlns="http://schemas.openxmlformats.org/spreadsheetml/2006/main" count="3448" uniqueCount="2653">
  <si>
    <t>Asset information - Assets</t>
  </si>
  <si>
    <t>Asset Name</t>
  </si>
  <si>
    <t>Asset Type</t>
  </si>
  <si>
    <t>Asset Status</t>
  </si>
  <si>
    <t>Activity Type</t>
  </si>
  <si>
    <t>Asset Information</t>
  </si>
  <si>
    <t>Associated Activity</t>
  </si>
  <si>
    <t>If other (Describe)</t>
  </si>
  <si>
    <t>Well</t>
  </si>
  <si>
    <t>Pipeline</t>
  </si>
  <si>
    <t>Disposition</t>
  </si>
  <si>
    <t>Abandonded</t>
  </si>
  <si>
    <t>Active</t>
  </si>
  <si>
    <t>Sweet Gas Well</t>
  </si>
  <si>
    <t>Gas Pipeline</t>
  </si>
  <si>
    <t>Access Road</t>
  </si>
  <si>
    <t>Pipeline ROW</t>
  </si>
  <si>
    <t>Yes</t>
  </si>
  <si>
    <t xml:space="preserve">No </t>
  </si>
  <si>
    <t>Not Applicable</t>
  </si>
  <si>
    <t>Response</t>
  </si>
  <si>
    <t>Interviews</t>
  </si>
  <si>
    <t>Interview Details</t>
  </si>
  <si>
    <t>Stakeholder Type</t>
  </si>
  <si>
    <t>Name</t>
  </si>
  <si>
    <t>Date</t>
  </si>
  <si>
    <t>Interviewed By:</t>
  </si>
  <si>
    <t>Have the stakeholders been given the opportunity to provide comments?</t>
  </si>
  <si>
    <t>Drilling Information</t>
  </si>
  <si>
    <t>Well name or UWI</t>
  </si>
  <si>
    <t>Spud Date</t>
  </si>
  <si>
    <t>Final Drill Date</t>
  </si>
  <si>
    <t>Well Depth (m)</t>
  </si>
  <si>
    <t>Response2</t>
  </si>
  <si>
    <t>Is this site a re-entry?</t>
  </si>
  <si>
    <t>Is this site re-drilled?</t>
  </si>
  <si>
    <t>Drilling Information - Waste Disposal</t>
  </si>
  <si>
    <t>Mud Information</t>
  </si>
  <si>
    <t>Drilling Type</t>
  </si>
  <si>
    <t>Disposal Method</t>
  </si>
  <si>
    <t>Sump Information</t>
  </si>
  <si>
    <t>Sump Type</t>
  </si>
  <si>
    <t>Sump Location, If Remote</t>
  </si>
  <si>
    <t>Disposal Location(s)</t>
  </si>
  <si>
    <t>Contributing Wells and/or Pipelines</t>
  </si>
  <si>
    <t>Drilling Waste Disposal Information</t>
  </si>
  <si>
    <t>Has this site been used for drilling waste disposal more than once?</t>
  </si>
  <si>
    <t>Are there any other drilling waste comments you wish to add?</t>
  </si>
  <si>
    <t>If yes, Provide details and location(s)</t>
  </si>
  <si>
    <t>Site Information - Production and Storage</t>
  </si>
  <si>
    <t>Current and/or Historical Information</t>
  </si>
  <si>
    <t>Storage Tanks</t>
  </si>
  <si>
    <t>Type of Tank</t>
  </si>
  <si>
    <t>Content</t>
  </si>
  <si>
    <t>Capacity (m3)</t>
  </si>
  <si>
    <t>Location</t>
  </si>
  <si>
    <t>Other Facilities or Infrastructure</t>
  </si>
  <si>
    <t>Comments</t>
  </si>
  <si>
    <t>Were there any Underground Structures associated with the site?</t>
  </si>
  <si>
    <t>Facility Types</t>
  </si>
  <si>
    <t>Waste Storage</t>
  </si>
  <si>
    <t>Handling</t>
  </si>
  <si>
    <t xml:space="preserve">Chemical Storage </t>
  </si>
  <si>
    <t>Buried Pits</t>
  </si>
  <si>
    <t>Other</t>
  </si>
  <si>
    <t>Landfills</t>
  </si>
  <si>
    <t>Fluid Disposal</t>
  </si>
  <si>
    <t>How was fluid at producing wells, disposal wells, and/or battery sites shipped to/from the location?</t>
  </si>
  <si>
    <t>Site Information - Environmental Information</t>
  </si>
  <si>
    <t>Spills and Releases</t>
  </si>
  <si>
    <t>Have there been any spills, releases, and/or complaints associated with the site?</t>
  </si>
  <si>
    <t>Were any other ESAs previously completed for this site?</t>
  </si>
  <si>
    <t>Response3</t>
  </si>
  <si>
    <t>Unknown</t>
  </si>
  <si>
    <t>Site Visit</t>
  </si>
  <si>
    <t>General Information</t>
  </si>
  <si>
    <t>Assessor(s)</t>
  </si>
  <si>
    <t>Was the site visit conducted with the landowner, land manager, and/or occupant present?</t>
  </si>
  <si>
    <t>North</t>
  </si>
  <si>
    <t>South</t>
  </si>
  <si>
    <t>East</t>
  </si>
  <si>
    <t>West</t>
  </si>
  <si>
    <t>Residence</t>
  </si>
  <si>
    <t>Water Well</t>
  </si>
  <si>
    <t>Additional Information</t>
  </si>
  <si>
    <t>Surrounding Land Use</t>
  </si>
  <si>
    <t>Provide the proximity of receptors to the site. Fill in distance (m) for all within 300 meters of the site boundary</t>
  </si>
  <si>
    <t>Equipment and/or tanks were present, and/or there were visual signs of former facilities</t>
  </si>
  <si>
    <t>Visual signs of open, or potentially buried, earthen pits were observed</t>
  </si>
  <si>
    <t>There was evidence of past spills (include cumulative releases, well centre impacts, staining, salt tolerant vegetation, etc</t>
  </si>
  <si>
    <t>Adjacent land was affected by operations on the site</t>
  </si>
  <si>
    <t>Vegetation stress was apparent</t>
  </si>
  <si>
    <t>The site visit information conflicts with specific file or imagery review information</t>
  </si>
  <si>
    <t>Aerial Imagery</t>
  </si>
  <si>
    <t>Photo ID</t>
  </si>
  <si>
    <t>Aerial Type</t>
  </si>
  <si>
    <t>Pre-disturbance</t>
  </si>
  <si>
    <t>Post-disturbance</t>
  </si>
  <si>
    <t>Conclusion/Recommendation</t>
  </si>
  <si>
    <t>Submitted (Y/N)</t>
  </si>
  <si>
    <t>Company</t>
  </si>
  <si>
    <t>Professional Name(s)</t>
  </si>
  <si>
    <t>Professional Designation(s) and Registration</t>
  </si>
  <si>
    <t>Phase 1 ESA Completed Date</t>
  </si>
  <si>
    <t>Result of Phase 1</t>
  </si>
  <si>
    <t>List all that apply</t>
  </si>
  <si>
    <t>Option 1</t>
  </si>
  <si>
    <t>Option 2</t>
  </si>
  <si>
    <t>Option 3</t>
  </si>
  <si>
    <t>Site Info - P&amp;S</t>
  </si>
  <si>
    <t>Flare Pits</t>
  </si>
  <si>
    <t>Process Skids</t>
  </si>
  <si>
    <t>Chemical Storage</t>
  </si>
  <si>
    <t>Disposed of on site</t>
  </si>
  <si>
    <t>Trucked to the site</t>
  </si>
  <si>
    <t>Trucked from the site</t>
  </si>
  <si>
    <t>Piped to the site</t>
  </si>
  <si>
    <t>Piped from the site</t>
  </si>
  <si>
    <t>Surface Waterbody (e.g., dugout, stream, river)</t>
  </si>
  <si>
    <t>Column1</t>
  </si>
  <si>
    <t>Column2</t>
  </si>
  <si>
    <t>Column3</t>
  </si>
  <si>
    <t>Column4</t>
  </si>
  <si>
    <t>Column5</t>
  </si>
  <si>
    <t>Column22</t>
  </si>
  <si>
    <t>Associated Activity Type</t>
  </si>
  <si>
    <t>Legal Land description
(List all-use "," to separate)</t>
  </si>
  <si>
    <t>Legal Land description
(List all -  use "," to separate)</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</si>
  <si>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</si>
  <si>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</si>
  <si>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</si>
  <si>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</si>
  <si>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</si>
  <si>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</si>
  <si>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</si>
  <si>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</si>
  <si>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</si>
  <si>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</si>
  <si>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</si>
  <si>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</si>
  <si>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</si>
  <si>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</si>
  <si>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</si>
  <si>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</si>
  <si>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Column23</t>
  </si>
  <si>
    <t>Column24</t>
  </si>
  <si>
    <t>Column25</t>
  </si>
  <si>
    <t>AER Well Report</t>
  </si>
  <si>
    <t>WELL ID</t>
  </si>
  <si>
    <t>LICENSE #</t>
  </si>
  <si>
    <t>LICENSE
DATE</t>
  </si>
  <si>
    <t>WELL NAME</t>
  </si>
  <si>
    <t>LICENSEE</t>
  </si>
  <si>
    <t>OPERATOR</t>
  </si>
  <si>
    <t>SURFACE
LOCATION</t>
  </si>
  <si>
    <t>LICENSE
STATUS</t>
  </si>
  <si>
    <t>SPUD
DATE</t>
  </si>
  <si>
    <t>FINAL
DRILL
DATE</t>
  </si>
  <si>
    <t>ON PROD DATE</t>
  </si>
  <si>
    <t>WELL
STATUS
FLUID</t>
  </si>
  <si>
    <t>WELL
STATUS
MODE</t>
  </si>
  <si>
    <t>WELL
STATUS
TYPE</t>
  </si>
  <si>
    <t>WELL
STATUS
STRUCTURE</t>
  </si>
  <si>
    <t>ABANDON
DATE</t>
  </si>
  <si>
    <t>LAST
PROD
DATE</t>
  </si>
  <si>
    <t>SURFACE
LATITUDE</t>
  </si>
  <si>
    <t>SURFACE
LONGITUDE</t>
  </si>
  <si>
    <t>TOTAL
DEPTH (m)</t>
  </si>
  <si>
    <t>102 / 15-32-060-03 W4 / 0</t>
  </si>
  <si>
    <t>0273721</t>
  </si>
  <si>
    <t>SEP 11 2002</t>
  </si>
  <si>
    <t xml:space="preserve">STRONG ENERGY CHARLK 15-32-60-3     </t>
  </si>
  <si>
    <t>STRONG ENERGY RESOURCES LTD.</t>
  </si>
  <si>
    <t>ALTAGAS LTD.</t>
  </si>
  <si>
    <t>15-32-060-03W4M</t>
  </si>
  <si>
    <t xml:space="preserve">Abandoned   </t>
  </si>
  <si>
    <t>SEP 19 2002</t>
  </si>
  <si>
    <t>SEP 20 2002</t>
  </si>
  <si>
    <t>APR 18 2003</t>
  </si>
  <si>
    <t>GAS</t>
  </si>
  <si>
    <t>SUSP</t>
  </si>
  <si>
    <t>DEC 30 2014</t>
  </si>
  <si>
    <t>JUL 2007</t>
  </si>
  <si>
    <t>54.237748</t>
  </si>
  <si>
    <t>-110.41659</t>
  </si>
  <si>
    <t>360</t>
  </si>
  <si>
    <t>Well Annual Production Totals Report - Grouped by License #</t>
  </si>
  <si>
    <t>FLUID</t>
  </si>
  <si>
    <t>YEAR</t>
  </si>
  <si>
    <t>PRODUCTION
HOURS</t>
  </si>
  <si>
    <t>INJECTION
HOURS</t>
  </si>
  <si>
    <t>ANNUAL
VOLUME</t>
  </si>
  <si>
    <t>CUMULATIVE
VOLUME</t>
  </si>
  <si>
    <t>0191849</t>
  </si>
  <si>
    <t>Crude Oil/Bitumen</t>
  </si>
  <si>
    <t>1996</t>
  </si>
  <si>
    <t>264</t>
  </si>
  <si>
    <t>0</t>
  </si>
  <si>
    <t>72.6</t>
  </si>
  <si>
    <t>1997</t>
  </si>
  <si>
    <t>7,562</t>
  </si>
  <si>
    <t>3,973.9</t>
  </si>
  <si>
    <t>4,046.5</t>
  </si>
  <si>
    <t>1998</t>
  </si>
  <si>
    <t>8,352</t>
  </si>
  <si>
    <t>6,794.4</t>
  </si>
  <si>
    <t>10,840.9</t>
  </si>
  <si>
    <t>1999</t>
  </si>
  <si>
    <t>8,567</t>
  </si>
  <si>
    <t>3,862.2</t>
  </si>
  <si>
    <t>14,703.1</t>
  </si>
  <si>
    <t>2000</t>
  </si>
  <si>
    <t>8,392</t>
  </si>
  <si>
    <t>2,834.4</t>
  </si>
  <si>
    <t>17,537.5</t>
  </si>
  <si>
    <t>2001</t>
  </si>
  <si>
    <t>8,398</t>
  </si>
  <si>
    <t>1,597.7</t>
  </si>
  <si>
    <t>19,135.2</t>
  </si>
  <si>
    <t>2002</t>
  </si>
  <si>
    <t>8,745</t>
  </si>
  <si>
    <t>1,058.8</t>
  </si>
  <si>
    <t>20,194.0</t>
  </si>
  <si>
    <t>2003</t>
  </si>
  <si>
    <t>8,624</t>
  </si>
  <si>
    <t>961.1</t>
  </si>
  <si>
    <t>21,155.1</t>
  </si>
  <si>
    <t>2004</t>
  </si>
  <si>
    <t>8,741</t>
  </si>
  <si>
    <t>797.3</t>
  </si>
  <si>
    <t>21,952.4</t>
  </si>
  <si>
    <t>2005</t>
  </si>
  <si>
    <t>8,739</t>
  </si>
  <si>
    <t>715.1</t>
  </si>
  <si>
    <t>22,667.5</t>
  </si>
  <si>
    <t>2006</t>
  </si>
  <si>
    <t>8,641</t>
  </si>
  <si>
    <t>692.8</t>
  </si>
  <si>
    <t>23,360.3</t>
  </si>
  <si>
    <t>2007</t>
  </si>
  <si>
    <t>8,658</t>
  </si>
  <si>
    <t>774.6</t>
  </si>
  <si>
    <t>24,134.9</t>
  </si>
  <si>
    <t>2008</t>
  </si>
  <si>
    <t>8,575</t>
  </si>
  <si>
    <t>877.3</t>
  </si>
  <si>
    <t>25,012.2</t>
  </si>
  <si>
    <t>2009</t>
  </si>
  <si>
    <t>8,747</t>
  </si>
  <si>
    <t>583.2</t>
  </si>
  <si>
    <t>25,595.4</t>
  </si>
  <si>
    <t>2010</t>
  </si>
  <si>
    <t>8,757</t>
  </si>
  <si>
    <t>682.2</t>
  </si>
  <si>
    <t>26,277.6</t>
  </si>
  <si>
    <t>2011</t>
  </si>
  <si>
    <t>8,719</t>
  </si>
  <si>
    <t>623.1</t>
  </si>
  <si>
    <t>26,900.7</t>
  </si>
  <si>
    <t>2012</t>
  </si>
  <si>
    <t>8,746</t>
  </si>
  <si>
    <t>532.1</t>
  </si>
  <si>
    <t>27,432.8</t>
  </si>
  <si>
    <t>2013</t>
  </si>
  <si>
    <t>8,687</t>
  </si>
  <si>
    <t>508.9</t>
  </si>
  <si>
    <t>27,941.7</t>
  </si>
  <si>
    <t>2014</t>
  </si>
  <si>
    <t>8,700</t>
  </si>
  <si>
    <t>490.5</t>
  </si>
  <si>
    <t>28,432.2</t>
  </si>
  <si>
    <t>2015</t>
  </si>
  <si>
    <t>8,713</t>
  </si>
  <si>
    <t>537.8</t>
  </si>
  <si>
    <t>28,970.0</t>
  </si>
  <si>
    <t>2016</t>
  </si>
  <si>
    <t>8,705</t>
  </si>
  <si>
    <t>434.3</t>
  </si>
  <si>
    <t>29,404.3</t>
  </si>
  <si>
    <t>2017</t>
  </si>
  <si>
    <t>8,499</t>
  </si>
  <si>
    <t>342.4</t>
  </si>
  <si>
    <t>29,746.7</t>
  </si>
  <si>
    <t>2018</t>
  </si>
  <si>
    <t>7,439</t>
  </si>
  <si>
    <t>101.1</t>
  </si>
  <si>
    <t>29,847.8</t>
  </si>
  <si>
    <t>Gas</t>
  </si>
  <si>
    <t>251.6</t>
  </si>
  <si>
    <t>143.0</t>
  </si>
  <si>
    <t>394.6</t>
  </si>
  <si>
    <t>144.7</t>
  </si>
  <si>
    <t>539.3</t>
  </si>
  <si>
    <t>135.1</t>
  </si>
  <si>
    <t>674.4</t>
  </si>
  <si>
    <t>77.9</t>
  </si>
  <si>
    <t>752.3</t>
  </si>
  <si>
    <t>67.1</t>
  </si>
  <si>
    <t>819.4</t>
  </si>
  <si>
    <t>54.1</t>
  </si>
  <si>
    <t>873.5</t>
  </si>
  <si>
    <t>56.3</t>
  </si>
  <si>
    <t>929.8</t>
  </si>
  <si>
    <t>73.6</t>
  </si>
  <si>
    <t>1,003.4</t>
  </si>
  <si>
    <t>65.6</t>
  </si>
  <si>
    <t>1,069.0</t>
  </si>
  <si>
    <t>315.2</t>
  </si>
  <si>
    <t>1,384.2</t>
  </si>
  <si>
    <t>209.8</t>
  </si>
  <si>
    <t>1,594.0</t>
  </si>
  <si>
    <t>238.9</t>
  </si>
  <si>
    <t>1,832.9</t>
  </si>
  <si>
    <t>227.6</t>
  </si>
  <si>
    <t>2,060.5</t>
  </si>
  <si>
    <t>169.1</t>
  </si>
  <si>
    <t>2,229.6</t>
  </si>
  <si>
    <t>142.9</t>
  </si>
  <si>
    <t>2,372.5</t>
  </si>
  <si>
    <t>124.9</t>
  </si>
  <si>
    <t>2,497.4</t>
  </si>
  <si>
    <t>151.2</t>
  </si>
  <si>
    <t>2,648.6</t>
  </si>
  <si>
    <t>97.7</t>
  </si>
  <si>
    <t>2,746.3</t>
  </si>
  <si>
    <t>107.7</t>
  </si>
  <si>
    <t>2,854.0</t>
  </si>
  <si>
    <t>109.1</t>
  </si>
  <si>
    <t>2,963.1</t>
  </si>
  <si>
    <t>Water</t>
  </si>
  <si>
    <t>26.6</t>
  </si>
  <si>
    <t>442.8</t>
  </si>
  <si>
    <t>469.4</t>
  </si>
  <si>
    <t>855.1</t>
  </si>
  <si>
    <t>1,324.5</t>
  </si>
  <si>
    <t>8,425.0</t>
  </si>
  <si>
    <t>9,749.5</t>
  </si>
  <si>
    <t>3,346.2</t>
  </si>
  <si>
    <t>13,095.7</t>
  </si>
  <si>
    <t>551.4</t>
  </si>
  <si>
    <t>13,647.1</t>
  </si>
  <si>
    <t>461.4</t>
  </si>
  <si>
    <t>14,108.5</t>
  </si>
  <si>
    <t>705.9</t>
  </si>
  <si>
    <t>14,814.4</t>
  </si>
  <si>
    <t>531.9</t>
  </si>
  <si>
    <t>15,346.3</t>
  </si>
  <si>
    <t>528.5</t>
  </si>
  <si>
    <t>15,874.8</t>
  </si>
  <si>
    <t>2,180.7</t>
  </si>
  <si>
    <t>18,055.5</t>
  </si>
  <si>
    <t>2,562.3</t>
  </si>
  <si>
    <t>20,617.8</t>
  </si>
  <si>
    <t>2,146.3</t>
  </si>
  <si>
    <t>22,764.1</t>
  </si>
  <si>
    <t>2,854.3</t>
  </si>
  <si>
    <t>25,618.4</t>
  </si>
  <si>
    <t>3,338.9</t>
  </si>
  <si>
    <t>28,957.3</t>
  </si>
  <si>
    <t>3,540.3</t>
  </si>
  <si>
    <t>32,497.6</t>
  </si>
  <si>
    <t>3,499.9</t>
  </si>
  <si>
    <t>35,997.5</t>
  </si>
  <si>
    <t>3,473.4</t>
  </si>
  <si>
    <t>39,470.9</t>
  </si>
  <si>
    <t>3,623.1</t>
  </si>
  <si>
    <t>43,094.0</t>
  </si>
  <si>
    <t>3,523.7</t>
  </si>
  <si>
    <t>46,617.7</t>
  </si>
  <si>
    <t>3,548.7</t>
  </si>
  <si>
    <t>50,166.4</t>
  </si>
  <si>
    <t>3,492.1</t>
  </si>
  <si>
    <t>53,658.5</t>
  </si>
  <si>
    <t>3,034.3</t>
  </si>
  <si>
    <t>56,692.8</t>
  </si>
  <si>
    <t>2019</t>
  </si>
  <si>
    <t>720</t>
  </si>
  <si>
    <t>16.0</t>
  </si>
  <si>
    <t>56,708.8</t>
  </si>
  <si>
    <t>Asset Reference
 (Well license facility code, pipeline # or disposition #)</t>
  </si>
  <si>
    <t>Facility</t>
  </si>
  <si>
    <t>Suspended</t>
  </si>
  <si>
    <t>Battery Site</t>
  </si>
  <si>
    <t>Compressor Station</t>
  </si>
  <si>
    <t>Disposal Well</t>
  </si>
  <si>
    <t>Injection Site</t>
  </si>
  <si>
    <t>Meter Site</t>
  </si>
  <si>
    <t>Oil Pipeline</t>
  </si>
  <si>
    <t>Oil Well Site</t>
  </si>
  <si>
    <t>Prepared Well Site (not drilled)</t>
  </si>
  <si>
    <t>Remote Sump</t>
  </si>
  <si>
    <t>Sour Gas Well</t>
  </si>
  <si>
    <t>Storage Site</t>
  </si>
  <si>
    <t>Water Pipeline</t>
  </si>
  <si>
    <t>Drilled and Abandonded (D&amp;A)</t>
  </si>
  <si>
    <t>OSE</t>
  </si>
  <si>
    <t>Borrow Site</t>
  </si>
  <si>
    <t>Campsite</t>
  </si>
  <si>
    <t>Land Treatment Area</t>
  </si>
  <si>
    <t>Log Deck/Storage</t>
  </si>
  <si>
    <t>Remote Cement Returns Pit</t>
  </si>
  <si>
    <t>Right of Entry Order</t>
  </si>
  <si>
    <t>Salvage Deck</t>
  </si>
  <si>
    <t>Stockpile Site</t>
  </si>
  <si>
    <t>Temporary Access Road</t>
  </si>
  <si>
    <t>Temporary Work Space</t>
  </si>
  <si>
    <t>Topsoil Storage</t>
  </si>
  <si>
    <t>AEP Land Manager</t>
  </si>
  <si>
    <t>AER Land Manager</t>
  </si>
  <si>
    <t>Landowner</t>
  </si>
  <si>
    <t>Occupant</t>
  </si>
  <si>
    <t>Operator</t>
  </si>
  <si>
    <t>Stakeholder Comments</t>
  </si>
  <si>
    <t>Abadata Import</t>
  </si>
  <si>
    <t>Hydrocarbon Based</t>
  </si>
  <si>
    <t>Salt Based</t>
  </si>
  <si>
    <t>Water Based</t>
  </si>
  <si>
    <t>Biodegradation, Including land treatment</t>
  </si>
  <si>
    <t>Disposal on to forested public lands</t>
  </si>
  <si>
    <t>Mix, bury and cover</t>
  </si>
  <si>
    <t>Pump off</t>
  </si>
  <si>
    <t>Waste Facility</t>
  </si>
  <si>
    <t>Landspray</t>
  </si>
  <si>
    <t>Landspray while drilling</t>
  </si>
  <si>
    <t>Landspread</t>
  </si>
  <si>
    <t>None</t>
  </si>
  <si>
    <t>On Lease</t>
  </si>
  <si>
    <t>Remote</t>
  </si>
  <si>
    <t>Were there any associated Flare Pits present during drilling or production?</t>
  </si>
  <si>
    <t>The Flare Pits were used during:</t>
  </si>
  <si>
    <t>Drilling</t>
  </si>
  <si>
    <t>Production</t>
  </si>
  <si>
    <t>Both</t>
  </si>
  <si>
    <t>Provide details and location</t>
  </si>
  <si>
    <t>Storage Tank 
Above/Below</t>
  </si>
  <si>
    <t>Above Below</t>
  </si>
  <si>
    <t>Above Ground</t>
  </si>
  <si>
    <t>Below Ground</t>
  </si>
  <si>
    <t>If yes, Identify type</t>
  </si>
  <si>
    <t>If yes, Structure Status</t>
  </si>
  <si>
    <t>Structure Status</t>
  </si>
  <si>
    <t>Left in place</t>
  </si>
  <si>
    <t>Removed</t>
  </si>
  <si>
    <t>Underground structure location</t>
  </si>
  <si>
    <t>Comments (Specific Infrastructure)</t>
  </si>
  <si>
    <t>Infrastructure Location</t>
  </si>
  <si>
    <t>If Yes, date of spill</t>
  </si>
  <si>
    <t>Reference/Incident Number</t>
  </si>
  <si>
    <t>Type of Spill</t>
  </si>
  <si>
    <t>Product</t>
  </si>
  <si>
    <r>
      <t>Spill volume (m</t>
    </r>
    <r>
      <rPr>
        <b/>
        <vertAlign val="superscript"/>
        <sz val="11"/>
        <color theme="0"/>
        <rFont val="Calibri"/>
        <family val="2"/>
        <scheme val="minor"/>
      </rPr>
      <t>3</t>
    </r>
    <r>
      <rPr>
        <b/>
        <sz val="11"/>
        <color theme="0"/>
        <rFont val="Calibri"/>
        <family val="2"/>
        <scheme val="minor"/>
      </rPr>
      <t>)</t>
    </r>
  </si>
  <si>
    <r>
      <t>Recovered volume (m</t>
    </r>
    <r>
      <rPr>
        <b/>
        <vertAlign val="superscript"/>
        <sz val="11"/>
        <color theme="0"/>
        <rFont val="Calibri"/>
        <family val="2"/>
        <scheme val="minor"/>
      </rPr>
      <t>3</t>
    </r>
    <r>
      <rPr>
        <b/>
        <sz val="11"/>
        <color theme="0"/>
        <rFont val="Calibri"/>
        <family val="2"/>
        <scheme val="minor"/>
      </rPr>
      <t>)</t>
    </r>
  </si>
  <si>
    <t>ESA Details</t>
  </si>
  <si>
    <t>Site Visit Date</t>
  </si>
  <si>
    <t>Agriculture</t>
  </si>
  <si>
    <t>Commercial</t>
  </si>
  <si>
    <t>Industrial</t>
  </si>
  <si>
    <t>Natural</t>
  </si>
  <si>
    <t>Other (specify)</t>
  </si>
  <si>
    <t>Residential</t>
  </si>
  <si>
    <t>Surrounding Land Use2</t>
  </si>
  <si>
    <t>&lt;= 10 meters</t>
  </si>
  <si>
    <t>&gt; 300 meters/not applicable</t>
  </si>
  <si>
    <t>100-300 meters</t>
  </si>
  <si>
    <t>10-50 meters</t>
  </si>
  <si>
    <t>50-100 meters</t>
  </si>
  <si>
    <t>If Yes, What was observed</t>
  </si>
  <si>
    <t>If Yes, What was observed?</t>
  </si>
  <si>
    <t xml:space="preserve">If Yes, what was observed  </t>
  </si>
  <si>
    <t xml:space="preserve">If Yes, What was Observed?    </t>
  </si>
  <si>
    <t>If yes,  What was observed</t>
  </si>
  <si>
    <t>If Yes,  What was observed?</t>
  </si>
  <si>
    <t>Aerial Photo date</t>
  </si>
  <si>
    <t>Active Site</t>
  </si>
  <si>
    <t>Aerial Photo Type</t>
  </si>
  <si>
    <t>Aerial Photo Comments</t>
  </si>
  <si>
    <t>Assessment- Phase 1 ESA</t>
  </si>
  <si>
    <t>Submitted (Y)</t>
  </si>
  <si>
    <t>Date of Phase 1 Professional Declaration</t>
  </si>
  <si>
    <t>Assessment-Drilling Waste Disposal/Compliance</t>
  </si>
  <si>
    <t>Date of Drilling Waste Professional Declaration</t>
  </si>
  <si>
    <t xml:space="preserve">Company   </t>
  </si>
  <si>
    <t xml:space="preserve">Professional Name(s)   </t>
  </si>
  <si>
    <t xml:space="preserve">Professional Designation(s) and Registration   </t>
  </si>
  <si>
    <t>P1 results</t>
  </si>
  <si>
    <t>The Phase 1 ESA showed contamination was likely present so a Phase 2 ESA is required</t>
  </si>
  <si>
    <t>The Phase 1 ESA showed contamination was not likely present, so no Phase 2 ESA or remediation is required</t>
  </si>
  <si>
    <t>The Phase 1 ESA showed insufficient information to determine if contamination was likely present, so a Phase 2 ESA is required.</t>
  </si>
  <si>
    <t xml:space="preserve">Additional Comments  </t>
  </si>
  <si>
    <t>Production Info.</t>
  </si>
  <si>
    <t>Authorization Holder
 (Client Name)</t>
  </si>
  <si>
    <t>Decribe all historical and/or current infrastructure associated with the location (e.g., tanks, pipeline, process skids, access roads, etc. [Click all that apply]</t>
  </si>
  <si>
    <t>Drilling Waste Disposal -  [Select all that apply]</t>
  </si>
  <si>
    <r>
      <t>Volume (m</t>
    </r>
    <r>
      <rPr>
        <b/>
        <vertAlign val="superscript"/>
        <sz val="11"/>
        <color rgb="FFFFC000"/>
        <rFont val="Calibri"/>
        <family val="2"/>
        <scheme val="minor"/>
      </rPr>
      <t>3</t>
    </r>
    <r>
      <rPr>
        <b/>
        <sz val="11"/>
        <color rgb="FFFFC000"/>
        <rFont val="Calibri"/>
        <family val="2"/>
        <scheme val="minor"/>
      </rPr>
      <t>)</t>
    </r>
  </si>
  <si>
    <t>The license number needs to be entered as text in order for the spreadsheet to find the data in the well report (if you have issues, preceed the entry with a ' to indicate text)</t>
  </si>
  <si>
    <t>To import the well file data or production information, go to the correct tab, then on the data tab, get data, from file.  Tell Excel what type of data and where it is stored and it will import it onto that location.</t>
  </si>
  <si>
    <t>Do not rename any tabs as there are formulas on the main page that require them</t>
  </si>
  <si>
    <t xml:space="preserve">The column headings are color coded - Black background, white text = data entry field in the column, Black background, gold text = drop down menus, </t>
  </si>
  <si>
    <t>If the column indicates [Select all that apply], use the drop down and select each entry that applies.</t>
  </si>
  <si>
    <t>The different sections in the spreadsheet are color coded only to help differentiate the areas in OneStop.  Each subsection has a corresponding color variant.</t>
  </si>
  <si>
    <t>There are columns through the spreadsheet colored Blue that will change depending on the answers to previous questions.</t>
  </si>
  <si>
    <t>Additional Comments (If Applicable)</t>
  </si>
  <si>
    <t>Production Information per event</t>
  </si>
  <si>
    <t>Type of Infrastructure</t>
  </si>
  <si>
    <t>Ecoventure Inc</t>
  </si>
  <si>
    <t>Ecoventure Inc.</t>
  </si>
  <si>
    <t>Ecoventure Drilling Mud Additive Summary for Schedule 3</t>
  </si>
  <si>
    <t>Senior Review Check:</t>
  </si>
  <si>
    <t>Client</t>
  </si>
  <si>
    <t>Copy Below into Compliance Option Checklist</t>
  </si>
  <si>
    <t>Note: Tally below should record the most conservative (higher) value of mud additives observed between Tour Report &amp; Daily Drilling Records (DDR).</t>
  </si>
  <si>
    <t>Mud Additive - select from drop down list</t>
  </si>
  <si>
    <t>Total Mud Count</t>
  </si>
  <si>
    <t>Product Name</t>
  </si>
  <si>
    <t>Amount Used</t>
  </si>
  <si>
    <t>Brief Description of Product</t>
  </si>
  <si>
    <t>Special Note about Additive (Do not include this note in Schedule 3)</t>
  </si>
  <si>
    <t>Legend:</t>
  </si>
  <si>
    <t>Add colors to cells and place description below</t>
  </si>
  <si>
    <t>Daily Drilling Muds</t>
  </si>
  <si>
    <t>Most conservative value</t>
  </si>
  <si>
    <t>Tours Muds</t>
  </si>
  <si>
    <t>The following list is to be used to generate the references for the Compliance Option Checklist. Complete the information for the daily drilling and/or tours then copy and paste the list into the checklist section. Make sure to add in any additonal references that were used for identifying muds.</t>
  </si>
  <si>
    <t>References:</t>
  </si>
  <si>
    <t>Abacus Datagraphics. AbaData2, accessed Month, 2020. URL: http://abadata.ca/abadata2</t>
  </si>
  <si>
    <t>PSAC (Petroleum Services Association of Canada). 2011. Drilling fluid product listing for potential toxicity information.</t>
  </si>
  <si>
    <t>Insert and additional mud references and Daily Drilling &amp;/or Tours references following examples below</t>
  </si>
  <si>
    <t>World Wide Drilling Ltd. 2008. Daily Drilling Report for 100/XX-XX-XXX-XX WXM, February 2 to February 8, 2008.</t>
  </si>
  <si>
    <t>Vermilion Resources Ltd. 2001. Notification of Drilling Waste Disposal for 100/XX-XX-XXX-XX WXM, June 10, 2001.</t>
  </si>
  <si>
    <t>Tri-City Drilling Ltd. 2005. Daily Drilling Tour Reports for 100/XX-XX-XXX-XX WXM, March 15 to 20, 2005.</t>
  </si>
  <si>
    <t>Below are equations to perform common conversion calculations. Please do not make changes to the equations to avoid errors.</t>
  </si>
  <si>
    <t>Convert Pail to Barrel</t>
  </si>
  <si>
    <t>Convert lb to kg:</t>
  </si>
  <si>
    <t>Enter lb:</t>
  </si>
  <si>
    <t>Answer in  kg =</t>
  </si>
  <si>
    <t>Convert # kg Sack to 25 kg Sack:</t>
  </si>
  <si>
    <t>Enter Sack Weight and number of sacks to be converted:</t>
  </si>
  <si>
    <t>weight in kg:</t>
  </si>
  <si>
    <t># of sacks:</t>
  </si>
  <si>
    <t># of 25 kg Sacks =</t>
  </si>
  <si>
    <t>Convert # lb Sacks to 25 kg Sack:</t>
  </si>
  <si>
    <t>weight in lb:</t>
  </si>
  <si>
    <t>Amount Used (units)</t>
  </si>
  <si>
    <t>Special Information</t>
  </si>
  <si>
    <t>*** To add mud additives to this list, email Wayne and Colleen for review and approval ***</t>
  </si>
  <si>
    <t>18A12</t>
  </si>
  <si>
    <t>Liquid PHPA; Flocculants</t>
  </si>
  <si>
    <t>2K7 Water Soluble Pak</t>
  </si>
  <si>
    <t>Myacide Powder; bactericides</t>
  </si>
  <si>
    <t>Abandonpak</t>
  </si>
  <si>
    <t>Mulit0functional packer fluid inhibitor (water soluble); corrosion inhibitor</t>
  </si>
  <si>
    <t>Abandonpak (SD)</t>
  </si>
  <si>
    <t>Self-dispersing, multi-funct packer fluid inhib (water soluble); corrosion inhibitor</t>
  </si>
  <si>
    <t>ABI 3/8 Medium Plug</t>
  </si>
  <si>
    <t>Sized bentonite; Lost Circulation Material</t>
  </si>
  <si>
    <t>ABI High Yield Bentonite</t>
  </si>
  <si>
    <t>Peptized wyoming bentonite; Viscosifiers</t>
  </si>
  <si>
    <t>ABI Premium Gel</t>
  </si>
  <si>
    <t>Wyoming bentonite; Viscosifiers</t>
  </si>
  <si>
    <t>ABI Untreated Gel</t>
  </si>
  <si>
    <t>Untreated wyoming bentonite; Viscosifiers</t>
  </si>
  <si>
    <t>Actiguard</t>
  </si>
  <si>
    <t>Shale &amp; clay inhibitor for Aphron ICS; Shale Control Inhibitors</t>
  </si>
  <si>
    <t>Activated Carbon</t>
  </si>
  <si>
    <t>Charcoal; Surface Active Agents</t>
  </si>
  <si>
    <t>Activator I</t>
  </si>
  <si>
    <t>Thermal stabilizer for APHRON ICS; Polymer Stabilizers</t>
  </si>
  <si>
    <t>Activator II</t>
  </si>
  <si>
    <t>Adapta</t>
  </si>
  <si>
    <t>Oil mud HTHP filtrate reducer; Filtrate Reducers</t>
  </si>
  <si>
    <t>AK-70</t>
  </si>
  <si>
    <t>Gilsonite; Filtrate Reducers</t>
  </si>
  <si>
    <t>Aktaflo-E</t>
  </si>
  <si>
    <t>Oxyethlated alkyl phenol liquid; emulsifier</t>
  </si>
  <si>
    <t>Aktaflo-S</t>
  </si>
  <si>
    <t>Mixed oxyethylated phenols; Surface Active Agents</t>
  </si>
  <si>
    <t>Alcomer 110 RD</t>
  </si>
  <si>
    <t>High mol wt.anionic dispersible polyacrylamide; Flocculants</t>
  </si>
  <si>
    <t>Alcomer 120L</t>
  </si>
  <si>
    <t>Liquid HMW anionic polyacrylamide; Shale Control Inhibitors</t>
  </si>
  <si>
    <t>Alcomer 242</t>
  </si>
  <si>
    <t>AMPS - polyacrylamiide copolymer; Filtrate Reducers</t>
  </si>
  <si>
    <t>Alcomer 274</t>
  </si>
  <si>
    <t>Liquid anionic acrylic co-polymer emulsion; Viscosifiers</t>
  </si>
  <si>
    <t>Alcomer 338 RD</t>
  </si>
  <si>
    <t>High Mol wt. Anionic polyacrylamide; Flocculants</t>
  </si>
  <si>
    <t>Alcomer 60</t>
  </si>
  <si>
    <t>Shale control inhibitors</t>
  </si>
  <si>
    <t>Alcomer 60RD</t>
  </si>
  <si>
    <t>LMW anionic dispersible PHPA; Shale Control Inhibitors</t>
  </si>
  <si>
    <t>Alcomer 72L</t>
  </si>
  <si>
    <t>Liquid LMW anionic acrylate-based polymer; Thinners, Dispersants</t>
  </si>
  <si>
    <t>Alcomer 74</t>
  </si>
  <si>
    <t>Modified acrylic polymer, calcium stable; Thinners, Dispersants</t>
  </si>
  <si>
    <t>Alcomer 74L</t>
  </si>
  <si>
    <t>Liquid anionic acrylic co-polymer, calcium stable; Thinners, Dispersants</t>
  </si>
  <si>
    <t>Alcomer IIORD</t>
  </si>
  <si>
    <t>HMW anionic dispersible PHPA; Shale Control Inhibitors</t>
  </si>
  <si>
    <t>Aldacide</t>
  </si>
  <si>
    <t>Microbiocide</t>
  </si>
  <si>
    <t>Aldacide G</t>
  </si>
  <si>
    <t>Glutaraldyhyde solution; bactericides</t>
  </si>
  <si>
    <t>Alkafloc A-25 D</t>
  </si>
  <si>
    <t>Dispersible PHPA low viscosity anionic; Shale Control Inhibitors</t>
  </si>
  <si>
    <t>Alkafloc EA-73</t>
  </si>
  <si>
    <t>PHPA emulsion; Shale Control Inhibitors</t>
  </si>
  <si>
    <t>Alkafloc EAS</t>
  </si>
  <si>
    <t>Sulfonated AMPS; Shale Control Inhibitors</t>
  </si>
  <si>
    <t>Alkapam</t>
  </si>
  <si>
    <t>Polyacrylamide; flocculant</t>
  </si>
  <si>
    <t>Alkapam 1103</t>
  </si>
  <si>
    <t>Dispersible PHDA HMW anionic; Flocculant</t>
  </si>
  <si>
    <t>Alkapam A-1103 D</t>
  </si>
  <si>
    <t>Dispersible PHPA HMW anionic; Flocculants</t>
  </si>
  <si>
    <t>Alkapam A-1703D</t>
  </si>
  <si>
    <t>Dispersible PHPA HMW anionic; Viscosifiers</t>
  </si>
  <si>
    <t>Alkapam A-25D</t>
  </si>
  <si>
    <t>Dispersible PHPA low viscosity anionic; Flocculants</t>
  </si>
  <si>
    <t>Alkapam C-1803</t>
  </si>
  <si>
    <t>Cationic; Flocculants</t>
  </si>
  <si>
    <t>Alkapam CP787</t>
  </si>
  <si>
    <t>PHPA cationic HMW; Flocculants</t>
  </si>
  <si>
    <t>Alkapam EA-73</t>
  </si>
  <si>
    <t>Liquid PHPA HMW; Viscosifiers</t>
  </si>
  <si>
    <t>Alkapam N 1003 D</t>
  </si>
  <si>
    <t>Dispersible PHPA MMW non-ionic; Flocculants</t>
  </si>
  <si>
    <t>Alkapam N-1103D</t>
  </si>
  <si>
    <t>Polyacrylamide; Shale Control Inhibitors</t>
  </si>
  <si>
    <t>Alkapam S</t>
  </si>
  <si>
    <t>Polyacrylamides; Flocculants</t>
  </si>
  <si>
    <t>All Temp</t>
  </si>
  <si>
    <t>All temperature polymeric deflocculant; Thinners, Dispersants</t>
  </si>
  <si>
    <t>Alphadrill</t>
  </si>
  <si>
    <t>Liquid shale stabilizer; Shale Control Inhibitors</t>
  </si>
  <si>
    <t>Alplex</t>
  </si>
  <si>
    <t>Inhibitive aluminum complex; Shale Control Inhibitors</t>
  </si>
  <si>
    <t>Aluminum Stearate</t>
  </si>
  <si>
    <t>Aluminum stearate powder; defoamer</t>
  </si>
  <si>
    <t>Amberguard 425</t>
  </si>
  <si>
    <t>Carbamate type biocide; Pretreatment</t>
  </si>
  <si>
    <t>Aminodrill</t>
  </si>
  <si>
    <t>Amine based liquid shale inhibitor (winterized); Shale Control Inhibitors</t>
  </si>
  <si>
    <t>Ammonium Bisulfite</t>
  </si>
  <si>
    <t>Oxygen scavenger; corrosion inhibitor</t>
  </si>
  <si>
    <t>Ammonium Nitrate</t>
  </si>
  <si>
    <t>Ammonium nitrate; tracer chemical</t>
  </si>
  <si>
    <t>Complete salt calculation; used in advanced gel chem systems</t>
  </si>
  <si>
    <t>Ammonium Sulphate</t>
  </si>
  <si>
    <t>Ammonium sulphate; Shale Control Inhibitors</t>
  </si>
  <si>
    <t>Complete salt calculation</t>
  </si>
  <si>
    <t>Aphron ICS</t>
  </si>
  <si>
    <t>Water-base reservoir drill-in fluid; Systems</t>
  </si>
  <si>
    <t>Aqua Pac LV</t>
  </si>
  <si>
    <t>Polyanionic cellulose; Filtrate Reducers</t>
  </si>
  <si>
    <t>Aqua Pac Regular</t>
  </si>
  <si>
    <t>Aqua-Col</t>
  </si>
  <si>
    <t>Cloud-point polyglycol; Shale Control Inhibitors</t>
  </si>
  <si>
    <t>Aqua-Drill System</t>
  </si>
  <si>
    <t>Inhibitive glycol based drilling fluid; Systems</t>
  </si>
  <si>
    <t>Aquagel</t>
  </si>
  <si>
    <t>Treated sodium montmorillonite; Filtrate Reducers/viscosifier</t>
  </si>
  <si>
    <t>Aquagel Gold</t>
  </si>
  <si>
    <t>Aqualgel Gold Seal</t>
  </si>
  <si>
    <t>Treated sodium montmorillonite; Viscosifiers</t>
  </si>
  <si>
    <t>Aquamagic</t>
  </si>
  <si>
    <t>Non-toxic oil free differential sticking preventative; Lubricants</t>
  </si>
  <si>
    <t>Aquapac</t>
  </si>
  <si>
    <t>Polyanionic cellulose; viscosifier</t>
  </si>
  <si>
    <t>Aquapac LV</t>
  </si>
  <si>
    <t>Polyanionic cellulose; Shale Control Inhibitors</t>
  </si>
  <si>
    <t>Aquapac Regular</t>
  </si>
  <si>
    <t>Polyanioinc cellulose; Viscosifiers</t>
  </si>
  <si>
    <t>Aqua-Star D</t>
  </si>
  <si>
    <t>Carboxymethyl starch; Filtrate Reducers</t>
  </si>
  <si>
    <t>Asphasol D</t>
  </si>
  <si>
    <t>Sulfonated organic blends; Shale Control Inhibitors</t>
  </si>
  <si>
    <t>Asphasol Surpreme</t>
  </si>
  <si>
    <t>Sulfonated asphalt; Shale Control Inhibitors</t>
  </si>
  <si>
    <t>Attapulgite</t>
  </si>
  <si>
    <t>Clay viscosifier for salt water systems; Viscosifiers</t>
  </si>
  <si>
    <t>B 1007</t>
  </si>
  <si>
    <t>Granular Biocide; bactericides</t>
  </si>
  <si>
    <t>B 1008</t>
  </si>
  <si>
    <t>Liquid, non-foaming biocide; bactericides</t>
  </si>
  <si>
    <t>B.A.S.E. Mud</t>
  </si>
  <si>
    <t>Water based mud for bitumen &amp; heavy oil wells; Systems</t>
  </si>
  <si>
    <t>Barablok</t>
  </si>
  <si>
    <t>Powdered hydrocarbon resin; Filtrate Reducers</t>
  </si>
  <si>
    <t>Hydrocarbons - note in Compliance Option Checklist</t>
  </si>
  <si>
    <t>Barabuf</t>
  </si>
  <si>
    <t>Magnesium Oxide pH stabilizer; alkalinity pH control</t>
  </si>
  <si>
    <t>Baracarb</t>
  </si>
  <si>
    <t>Sized calcium carbonate; Lost Circulation Material</t>
  </si>
  <si>
    <t>Baracat</t>
  </si>
  <si>
    <t>High charge cationic polymer; Shale Control Inhibitors</t>
  </si>
  <si>
    <t>Barachek</t>
  </si>
  <si>
    <t>Cellulosic Polymer; Filtrate Reducers</t>
  </si>
  <si>
    <t>Baractive</t>
  </si>
  <si>
    <t>Polar activator for use in 100% oil systems; Surface Active Agents</t>
  </si>
  <si>
    <t>Bara-Defoam HP</t>
  </si>
  <si>
    <t>Polypropylene glycol; defoamer</t>
  </si>
  <si>
    <t>Bara-Defoam I</t>
  </si>
  <si>
    <t>Surface active defaomer; defoamer</t>
  </si>
  <si>
    <t>Bara-Defoam W300</t>
  </si>
  <si>
    <t>Baradril-N</t>
  </si>
  <si>
    <t>Non damaging acid soluble clay-free system; Systems</t>
  </si>
  <si>
    <t>Barafilm</t>
  </si>
  <si>
    <t>Filming amine; corrosion inhibitor</t>
  </si>
  <si>
    <t>Barafloc</t>
  </si>
  <si>
    <t>Acrylamide polymeric hydrolife powder; Flocculants</t>
  </si>
  <si>
    <t>Barafoam</t>
  </si>
  <si>
    <t>Sodium AO sulphonate; Foaming Agents</t>
  </si>
  <si>
    <t>BARAFOS (SAPP)</t>
  </si>
  <si>
    <t>Modified sodium polyphosphate; Thinners, Dispersants</t>
  </si>
  <si>
    <t>Complete Salt calculation</t>
  </si>
  <si>
    <t>Baragel 3000</t>
  </si>
  <si>
    <t>Oil mud viscosifier; Viscosifiers</t>
  </si>
  <si>
    <t>Baranex</t>
  </si>
  <si>
    <t>Temperature stable lignite powder; Filtrate Reducers</t>
  </si>
  <si>
    <t>Baraplug</t>
  </si>
  <si>
    <t>Sized and treated salts; Lost Circulation Material</t>
  </si>
  <si>
    <t>Bararesin-Vis</t>
  </si>
  <si>
    <t>Organophilic viscosifier for oils; Viscosifiers</t>
  </si>
  <si>
    <t>Barascav D</t>
  </si>
  <si>
    <t>Powdered sodium sulphite; corrosion inhibitor</t>
  </si>
  <si>
    <t>Barascav L</t>
  </si>
  <si>
    <t>Liquid oxygen scavenger; corrosion inhibitor</t>
  </si>
  <si>
    <t>Barasol</t>
  </si>
  <si>
    <t>Sodium ashpalt sulphonate; Shale Control Inhibitors</t>
  </si>
  <si>
    <t>Baravis</t>
  </si>
  <si>
    <t>HEC; Viscosifiers</t>
  </si>
  <si>
    <t>Baraweight</t>
  </si>
  <si>
    <t>Processed iron carbonate; Weighting Materials</t>
  </si>
  <si>
    <t>Barazan</t>
  </si>
  <si>
    <t>Polysaccharide biopolymer; Viscosifiers</t>
  </si>
  <si>
    <t>Barazan D</t>
  </si>
  <si>
    <t>Dispersion enhanced xanthan gum; Viscosifiers</t>
  </si>
  <si>
    <t>Barazan D Plus</t>
  </si>
  <si>
    <t>Dispersant added biopolymer; Viscosifiers</t>
  </si>
  <si>
    <t>Barazan L</t>
  </si>
  <si>
    <t>Liquid xanthan gum biopolymer; Viscosifiers</t>
  </si>
  <si>
    <t>Barite</t>
  </si>
  <si>
    <t>Processed barites (BaSO4); Weighting Materials</t>
  </si>
  <si>
    <t>Complete Ba calculations; sack size 45 kg</t>
  </si>
  <si>
    <t>Barium Carbonate</t>
  </si>
  <si>
    <t>Baium carbonate; Commercial Chemicals</t>
  </si>
  <si>
    <t>Complete Ba calculations</t>
  </si>
  <si>
    <t>Barodense</t>
  </si>
  <si>
    <t>Iron oxide; Weighting Materials</t>
  </si>
  <si>
    <t>Barofibre</t>
  </si>
  <si>
    <t>Fibrous cellulosic material; Lost Circulation Material</t>
  </si>
  <si>
    <t>Baroid</t>
  </si>
  <si>
    <t>Barite,barium sulphate (BaSO4); Weighting Materials</t>
  </si>
  <si>
    <t>Baroid 100</t>
  </si>
  <si>
    <t>All oil fluid system; Systems</t>
  </si>
  <si>
    <t>Barolift</t>
  </si>
  <si>
    <t>Specially treated monofilament fiber sweeping agent; Viscosifiers</t>
  </si>
  <si>
    <t>Baro-Lube GS</t>
  </si>
  <si>
    <t>Surfactant/lubricant blend; Lubricants</t>
  </si>
  <si>
    <t>Baroseal</t>
  </si>
  <si>
    <t>Combination LCM; Lost Circulation Material</t>
  </si>
  <si>
    <t>Baro-Spot</t>
  </si>
  <si>
    <t>Blend of anionic surfactants; Lubricants</t>
  </si>
  <si>
    <t>Baro-Trol Plus</t>
  </si>
  <si>
    <t>Blended hydrocarbon powder; Shale Control Inhibitors</t>
  </si>
  <si>
    <t>Base Oil</t>
  </si>
  <si>
    <t>Water based mud for bitumen and heavy oil wells; system</t>
  </si>
  <si>
    <t>Ben-Ex</t>
  </si>
  <si>
    <t>Co-polymer flocculant and clay extender; Viscosifiers</t>
  </si>
  <si>
    <t>Bentone</t>
  </si>
  <si>
    <t>Modified organophilic clay; Viscosifiers</t>
  </si>
  <si>
    <t>Bentone 38</t>
  </si>
  <si>
    <t>HTHP performance organoclay; Viscosifiers</t>
  </si>
  <si>
    <t>Bentone 910</t>
  </si>
  <si>
    <t>Economical organoclay; Viscosifiers</t>
  </si>
  <si>
    <t>Bentone 150</t>
  </si>
  <si>
    <t>Self-activating organoclay; Viscosifiers</t>
  </si>
  <si>
    <t>Bentonite</t>
  </si>
  <si>
    <t>Clay; viscosifier; also known as Gel</t>
  </si>
  <si>
    <t>Bex</t>
  </si>
  <si>
    <t>W/calcium carbonate stabilized HEC; Viscosifiers</t>
  </si>
  <si>
    <t>Bicarb of Soda</t>
  </si>
  <si>
    <t>NaHCO3; alkalinity pH control/calcium removers</t>
  </si>
  <si>
    <t>Bicarbonate of Soda</t>
  </si>
  <si>
    <t>Alkalinity, PH control/calcium remover</t>
  </si>
  <si>
    <t>Biocide</t>
  </si>
  <si>
    <t>Bactericide; control bacteria</t>
  </si>
  <si>
    <t>Pails, not sacks for units</t>
  </si>
  <si>
    <t>Bio-Spot</t>
  </si>
  <si>
    <t>Non-toxic oil free, water soluble spotted fluid for weighted muds; Lubricants</t>
  </si>
  <si>
    <t>Bio-Drill</t>
  </si>
  <si>
    <t>Polyglycol ROP enhancer; Shale Control Inhibitors</t>
  </si>
  <si>
    <t>Bio-Lose</t>
  </si>
  <si>
    <t>Non-fermenting chemically modified starch; Filtrate Reducers</t>
  </si>
  <si>
    <t>Bio-Lose 90</t>
  </si>
  <si>
    <t>Drill in system for fractured carbonate reservoirs; Systems</t>
  </si>
  <si>
    <t>Bio-Paq</t>
  </si>
  <si>
    <t>Organic derivate filtration control agent; Filtrate Reducers</t>
  </si>
  <si>
    <t>Biovis</t>
  </si>
  <si>
    <t>HT biopolymer; Viscosifiers</t>
  </si>
  <si>
    <t>Biozan</t>
  </si>
  <si>
    <t>Black-Magic</t>
  </si>
  <si>
    <t>Oil-base spotting fluid; Lubricants</t>
  </si>
  <si>
    <t>Black-Magic LT</t>
  </si>
  <si>
    <t>Low toxicity spotting fluid; Lubricants</t>
  </si>
  <si>
    <t>Black-Magic SFT</t>
  </si>
  <si>
    <t>Spotting fluid concentrate; Lubricants</t>
  </si>
  <si>
    <t>Blacknite</t>
  </si>
  <si>
    <t>Coupled gilsonite-based dispersion; Filtrate Reducers</t>
  </si>
  <si>
    <t>Blacknite K-Plus</t>
  </si>
  <si>
    <t>Liquid potassium based gilsonite; Shale Control Inhibitors</t>
  </si>
  <si>
    <t>Bleach</t>
  </si>
  <si>
    <t>Sodium Hypochlorite; bactericides</t>
  </si>
  <si>
    <t>Blue Streak</t>
  </si>
  <si>
    <t>Conditioner/encapsulator APHRON ICS; Surface Active Agents</t>
  </si>
  <si>
    <t>BMI Foamtech</t>
  </si>
  <si>
    <t>Anionic surfactant; Foaming Agents</t>
  </si>
  <si>
    <t>Bore Liner</t>
  </si>
  <si>
    <t>Boremax</t>
  </si>
  <si>
    <t>Low colloidal high performance WBM; Systems</t>
  </si>
  <si>
    <t>Bore-Plate</t>
  </si>
  <si>
    <t>Blend of dispersible gilsonite; Shale Control Inhibitors</t>
  </si>
  <si>
    <t>Break</t>
  </si>
  <si>
    <t>Metallic stearate dispersed in alcohol; defoamer</t>
  </si>
  <si>
    <t>Bri-Chem Coupler</t>
  </si>
  <si>
    <t>Non-ionic surfactant; Surface Active Agents</t>
  </si>
  <si>
    <t>Bri-Chem Defoamer</t>
  </si>
  <si>
    <t>General purpose alcohol defoamer; defoamer</t>
  </si>
  <si>
    <t>Bri-Chem MRP</t>
  </si>
  <si>
    <t>Concentrated anti-balling surfactant; Surface Active Agents</t>
  </si>
  <si>
    <t>Bri-Chemcide</t>
  </si>
  <si>
    <t>Liquid Biocide; bactericides</t>
  </si>
  <si>
    <t>Bridge Sal</t>
  </si>
  <si>
    <t>Polymers, calcium lignosulfonate, salt; Filtrate Reducers</t>
  </si>
  <si>
    <t>Bridgits</t>
  </si>
  <si>
    <t>Brine Guard</t>
  </si>
  <si>
    <t>Sulphide scavenger - zinc carbonate; corrosion inhibitor</t>
  </si>
  <si>
    <t>Complete Zn calculations</t>
  </si>
  <si>
    <t>Brinedril-N</t>
  </si>
  <si>
    <t>Viscosified heavy brine system; Systems</t>
  </si>
  <si>
    <t>Brine-Ox</t>
  </si>
  <si>
    <t>Solid catalyzed O2 scavenger; corrosion inhibitor</t>
  </si>
  <si>
    <t>Brinewate</t>
  </si>
  <si>
    <t>Sized salt for density and fluid loss control; Weighting Materials</t>
  </si>
  <si>
    <t>Bug-Killer</t>
  </si>
  <si>
    <t>Gluteraldehyde (50% solution); bactericides</t>
  </si>
  <si>
    <t>BXR</t>
  </si>
  <si>
    <t>Blended asphalt and hydrocarbon resin; Shale Control Inhibitors</t>
  </si>
  <si>
    <t>BXR-L</t>
  </si>
  <si>
    <t>Blended asphalt/ hydrocarbon resin in a glycerol/glycol base; Shale Control Inhibitors</t>
  </si>
  <si>
    <t>C 107</t>
  </si>
  <si>
    <t>Flocculent; cationic water soluble polymer</t>
  </si>
  <si>
    <t>Cage Absorbant T408</t>
  </si>
  <si>
    <t>Sized Zeolite; Lost Circulation Material</t>
  </si>
  <si>
    <t>Calcium Carbonate</t>
  </si>
  <si>
    <t>Calcium Carbonate; weighting material</t>
  </si>
  <si>
    <t>Calcium Carbonate Poultry Grit</t>
  </si>
  <si>
    <t>Calcium Chloride</t>
  </si>
  <si>
    <t>Calcium chloride; Shale Control Inhibitors; Weighting Materials</t>
  </si>
  <si>
    <t>Calcium Hypochlorite</t>
  </si>
  <si>
    <t>Dewatering material; Polymor breaker for polyacrylamides</t>
  </si>
  <si>
    <t>Calcium Nitrate</t>
  </si>
  <si>
    <t>Inorganic biodegradable flocculant (envirofloc)</t>
  </si>
  <si>
    <t>CAN EX</t>
  </si>
  <si>
    <t>Bentonite extender; viscosifiers</t>
  </si>
  <si>
    <t>Can-Break EBS</t>
  </si>
  <si>
    <t>Water soluble enzyme acid blend; Polymer Breakers</t>
  </si>
  <si>
    <t>Can-Break ECA</t>
  </si>
  <si>
    <t>cellulosic, guar and starch breaker; Polymer Breakers</t>
  </si>
  <si>
    <t>Can-Break I</t>
  </si>
  <si>
    <t>Enzyme breaker; Polymer Breakers</t>
  </si>
  <si>
    <t>Can-Ex</t>
  </si>
  <si>
    <t>Bentonite extender; Viscosifiers</t>
  </si>
  <si>
    <t>Can-Free</t>
  </si>
  <si>
    <t>Surfactant for mixing with oil to free pipe; Surface Active Agents</t>
  </si>
  <si>
    <t>Mixture of hydrocarbons, 2-ethylexanol and alklphenol ethoxylate</t>
  </si>
  <si>
    <t>Can-Oil</t>
  </si>
  <si>
    <t>100% oil-based drilling fluid; Systems</t>
  </si>
  <si>
    <t>Can-Oil FLC</t>
  </si>
  <si>
    <t>Fluid loss control for all-oil system; Filtrate Reducers</t>
  </si>
  <si>
    <t>CAN-THIN</t>
  </si>
  <si>
    <t>Iron based lignofulfonate polymer; water based deflocculant and fluid loss additive</t>
  </si>
  <si>
    <t>Capryl Alcohol</t>
  </si>
  <si>
    <t>Vegetable based fatty alcohol, Defoamer</t>
  </si>
  <si>
    <t xml:space="preserve">Toxic to Rainbow trout, microtox check </t>
  </si>
  <si>
    <t>Carbo-Core B</t>
  </si>
  <si>
    <t>Refined Oil; Drill Mud Base Fluids</t>
  </si>
  <si>
    <t>Carbo-Core B Dif</t>
  </si>
  <si>
    <t>All-oil drilling / drill in fluid; Systems</t>
  </si>
  <si>
    <t>Carbo-Core B System</t>
  </si>
  <si>
    <t>Refined oil invert emulsion; Systems</t>
  </si>
  <si>
    <t>Hydrocarbons</t>
  </si>
  <si>
    <t>Carbo-Drill System</t>
  </si>
  <si>
    <t>Mineral oil invert emulsion; Systems</t>
  </si>
  <si>
    <t>Carbo-Gel</t>
  </si>
  <si>
    <t>Organophilic hectoriteviscosifier for solids suspension; Viscosifiers</t>
  </si>
  <si>
    <t>CARBO-MUL</t>
  </si>
  <si>
    <t>High temp emulisifer and wetting agent</t>
  </si>
  <si>
    <t>Carbo-Mul (418)</t>
  </si>
  <si>
    <t>Oil mud emulsifier and wetting agent; emulsifier</t>
  </si>
  <si>
    <t>Carbo-Mul HT</t>
  </si>
  <si>
    <t>High-temp emulsifierand wetting agent; emulsifier</t>
  </si>
  <si>
    <t>Carbonox</t>
  </si>
  <si>
    <t>Lignitic humic acid powder; Thinners, Dispersants</t>
  </si>
  <si>
    <t>Carbo-Tec</t>
  </si>
  <si>
    <t>Oil mud emulsifier; emulsifier</t>
  </si>
  <si>
    <t>Carbo-Tec S</t>
  </si>
  <si>
    <t>Oil mud emulsifier</t>
  </si>
  <si>
    <t>Carbo-Trol</t>
  </si>
  <si>
    <t>Oil mud fitration-alphallic blend; Filtrate Reducers</t>
  </si>
  <si>
    <t>Carbo-Trol A-9</t>
  </si>
  <si>
    <t>Non-asphaltic filtration control agent for inverts; Filtrate Reducers</t>
  </si>
  <si>
    <t>Carbo-Trol HT</t>
  </si>
  <si>
    <t>High -temp softening point gilsonite for improved filtration in inverts; Filtrate Reducers</t>
  </si>
  <si>
    <t>Carbo-Vis</t>
  </si>
  <si>
    <t>Organo-bentonite; Viscosifiers</t>
  </si>
  <si>
    <t>Carbwate</t>
  </si>
  <si>
    <t>Calcium carbonate; Weighting Materials</t>
  </si>
  <si>
    <t>Cat-300</t>
  </si>
  <si>
    <t>Modified starch; Filtrate Reducers</t>
  </si>
  <si>
    <t>Cat-HI</t>
  </si>
  <si>
    <t>Modified cellulosic polymer; Filtrate Reducers</t>
  </si>
  <si>
    <t>Cat-LO</t>
  </si>
  <si>
    <t>Cat-Vis</t>
  </si>
  <si>
    <t>Welan gum biopolymer; Viscosifiers</t>
  </si>
  <si>
    <t>Caustic</t>
  </si>
  <si>
    <t>Assumed to be Caustic Soda (Sodium Hydroxide); alkalinity, PH control</t>
  </si>
  <si>
    <t>Caustic Potash</t>
  </si>
  <si>
    <t>Potassium Hydroxide; alkalinity, PH control</t>
  </si>
  <si>
    <t>Caustic Soda</t>
  </si>
  <si>
    <t>Sodium Hydroxide; alkalinity, PH control</t>
  </si>
  <si>
    <t>CC 700</t>
  </si>
  <si>
    <t>Liquid clay control (winterized); Shale Control Inhibitors</t>
  </si>
  <si>
    <t>CC-16</t>
  </si>
  <si>
    <t>Causticized leonardite; Filtrate Reducers</t>
  </si>
  <si>
    <t>CDF-100L</t>
  </si>
  <si>
    <t>Anionic polyacrylamide; Shale Control Inhibitors</t>
  </si>
  <si>
    <t>Cellex</t>
  </si>
  <si>
    <t>Sodium carboxymethyl cellulose; Filtrate Reducers</t>
  </si>
  <si>
    <t>Celloflake</t>
  </si>
  <si>
    <t>Cellophane flake; Lost Circulation Material</t>
  </si>
  <si>
    <t>Cellophane</t>
  </si>
  <si>
    <t>Cesium Formate</t>
  </si>
  <si>
    <t>High density brine; Weighting Materials</t>
  </si>
  <si>
    <t>Potential salt concern</t>
  </si>
  <si>
    <t>CF Desco II</t>
  </si>
  <si>
    <t>Organic thinner chrome-free; Thinners, Dispersants</t>
  </si>
  <si>
    <t>Cr free, do not complete Cr calculation</t>
  </si>
  <si>
    <t>CFL 100</t>
  </si>
  <si>
    <t xml:space="preserve">Chrome free lignosulfonate; </t>
  </si>
  <si>
    <t>Chek-Loss</t>
  </si>
  <si>
    <t>Ground complexed cellulose; Lost Circulation Material</t>
  </si>
  <si>
    <t>Chek-Loss Coarse</t>
  </si>
  <si>
    <t>Chek-Loss Plus</t>
  </si>
  <si>
    <t>High lignin cellulosic LCM for ES in Invert fluids; Lost Circulation Material</t>
  </si>
  <si>
    <t>Chembreak EB</t>
  </si>
  <si>
    <t>Enzyme for breaking polymers; Polymer Breakers</t>
  </si>
  <si>
    <t>Chembreak ECA</t>
  </si>
  <si>
    <t>Enzyme blend for polymers and starch; Polymer Breakers</t>
  </si>
  <si>
    <t>Chembreak HC</t>
  </si>
  <si>
    <t>Calcium hypochlorite oxidizing agent; Polymer Breakers</t>
  </si>
  <si>
    <t>Chemcide</t>
  </si>
  <si>
    <t>Chemclean Rig Wash</t>
  </si>
  <si>
    <t>Biodegradable cleaner/degreaser; Surface Active Agents</t>
  </si>
  <si>
    <t>Chemfoam</t>
  </si>
  <si>
    <t>Foaming agent for water; Foaming Agents</t>
  </si>
  <si>
    <t>Chemhib #3</t>
  </si>
  <si>
    <t>Corrosion Inhibitor &amp; anti-anerobic bactericide; corrosion inhibitor</t>
  </si>
  <si>
    <t>Chemoil</t>
  </si>
  <si>
    <t>Breakable oil-based mud; Systems</t>
  </si>
  <si>
    <t>Chemoil pH</t>
  </si>
  <si>
    <t>pH control - chemoil system; alkalinity pH control</t>
  </si>
  <si>
    <t>Chemoil-Buff</t>
  </si>
  <si>
    <t>Chemoil-DFM</t>
  </si>
  <si>
    <t>Defoamer for Chemoil system; defoamer</t>
  </si>
  <si>
    <t>Chemoil-Gel</t>
  </si>
  <si>
    <t>Silica-gelant; Viscosifiers</t>
  </si>
  <si>
    <t>Chemoil-Link</t>
  </si>
  <si>
    <t>Cross-link for chemoil gel; Viscosifiers</t>
  </si>
  <si>
    <t>Chemoil-Thin</t>
  </si>
  <si>
    <t>Thinner for chemoil system; Thinners, Dispersants</t>
  </si>
  <si>
    <t>Chemthin OM</t>
  </si>
  <si>
    <t>Thinner for oil-based muds; Thinners, Dispersants</t>
  </si>
  <si>
    <t>Chemtrol X</t>
  </si>
  <si>
    <t>High-temp filtration control agent for water-base fluids; Filtrate Reducers</t>
  </si>
  <si>
    <t>Chemul I</t>
  </si>
  <si>
    <t>Oil mud primary emulsifier; emulsifier</t>
  </si>
  <si>
    <t>Chemul II</t>
  </si>
  <si>
    <t>Oil mud secondary emulsifier; emulsifier</t>
  </si>
  <si>
    <t>Chemwet OM</t>
  </si>
  <si>
    <t>Oil mud wetting agent; emulsifier; Surface Active Agents</t>
  </si>
  <si>
    <t>Chiron Floc</t>
  </si>
  <si>
    <t>PHPA; Flocculants</t>
  </si>
  <si>
    <t>Chlorine</t>
  </si>
  <si>
    <t>Chrome Alum</t>
  </si>
  <si>
    <t>Chromic chloride; Commercial Chemicals</t>
  </si>
  <si>
    <t>CI-40</t>
  </si>
  <si>
    <t>Corrosion Inhibitor</t>
  </si>
  <si>
    <t>Citric Acid</t>
  </si>
  <si>
    <t>Alkalinity control; alkalinity pH control</t>
  </si>
  <si>
    <t>Clarizan</t>
  </si>
  <si>
    <t>Clarified xanthan gum; Viscosifiers</t>
  </si>
  <si>
    <t>Clay Grabber</t>
  </si>
  <si>
    <t>Selective flocculant for Hydro-Guard system; Flocculants</t>
  </si>
  <si>
    <t>Clay Sync</t>
  </si>
  <si>
    <t>Shale inhibitor for Hydro-guard system; Shale Control Inhibitors</t>
  </si>
  <si>
    <t>Clay Treat</t>
  </si>
  <si>
    <t>Quaternary ammonium salt in aqueous solution; shale control inhibitor</t>
  </si>
  <si>
    <t>Clayseal</t>
  </si>
  <si>
    <t>Amphoteric amine complex; Shale control inhibitor</t>
  </si>
  <si>
    <t>Clayseal Plus</t>
  </si>
  <si>
    <t>Amphoteric material; Shale Control Inhibitors</t>
  </si>
  <si>
    <t>Clay-Trol</t>
  </si>
  <si>
    <t>Amphoteric amine complex; Shale Control Inhibitors</t>
  </si>
  <si>
    <t>Clean Up</t>
  </si>
  <si>
    <t>Rig Wash Cleaner; Surface Active Agents</t>
  </si>
  <si>
    <t>Cleardrill</t>
  </si>
  <si>
    <t>Low toxicity SHC mineral oil; Drill Mud Base Fluids</t>
  </si>
  <si>
    <t>Clearex</t>
  </si>
  <si>
    <t>Blended polymers with carbonates; Lost Circulation Material</t>
  </si>
  <si>
    <t>Clearfoam K</t>
  </si>
  <si>
    <t>Potassium formate; Shale Control Inhibitors</t>
  </si>
  <si>
    <t>Complete Salt calculation; Advanced Gel Chem</t>
  </si>
  <si>
    <t>CMC</t>
  </si>
  <si>
    <t>Carboxymethyl cellulose; Filtrate Reducers; polymer</t>
  </si>
  <si>
    <t>C-Mul</t>
  </si>
  <si>
    <t>PAO lubricant; Lubricants</t>
  </si>
  <si>
    <t>CoastaLube</t>
  </si>
  <si>
    <t>Comcorba</t>
  </si>
  <si>
    <t xml:space="preserve">Starch system (1957); </t>
  </si>
  <si>
    <t>Con Det</t>
  </si>
  <si>
    <t>Mud Detergent; Surface Active Agents</t>
  </si>
  <si>
    <t>Conqor 404</t>
  </si>
  <si>
    <t>Phosphorus-based corrosion inhibitor; corrosion inhibitor</t>
  </si>
  <si>
    <t>Core-dril</t>
  </si>
  <si>
    <t>Corinox</t>
  </si>
  <si>
    <t>Corrosion inhibitor/oxygen scavenger; corrosion inhibitor</t>
  </si>
  <si>
    <t>Cottonseed Hulls</t>
  </si>
  <si>
    <t>Fibrous biodegradeable hull material; Lost Circulation Material</t>
  </si>
  <si>
    <t>Cronox MEP 426</t>
  </si>
  <si>
    <t>3 way packer fluid inhibitor; corrosion inhibitor</t>
  </si>
  <si>
    <t>CROSFLOC</t>
  </si>
  <si>
    <t>Polyacrylamide Polymers; flocculent</t>
  </si>
  <si>
    <t>CRW 132</t>
  </si>
  <si>
    <t>Crystal-drill</t>
  </si>
  <si>
    <t>Polymeric shale inhibitor; Shale Control Inhibitors</t>
  </si>
  <si>
    <t>C-squeeze</t>
  </si>
  <si>
    <t>Filtrate reducer additive; Filtrate Reducers</t>
  </si>
  <si>
    <t>Cutter D</t>
  </si>
  <si>
    <t>Invert base fluid</t>
  </si>
  <si>
    <t>CW8367</t>
  </si>
  <si>
    <t>Water-soluble corrosion (anodic type) inhibitor; also biodegradable</t>
  </si>
  <si>
    <t>CW8551-3</t>
  </si>
  <si>
    <t>CW8659-3</t>
  </si>
  <si>
    <t>CW8919</t>
  </si>
  <si>
    <t>Cypan</t>
  </si>
  <si>
    <t>Sodium Polyacrylate; Filtrate Reducers</t>
  </si>
  <si>
    <t>D178 Plus</t>
  </si>
  <si>
    <t>High-temp polymer filtrate control for high salinity environments; Filtrate Reducers</t>
  </si>
  <si>
    <t>Dakolite</t>
  </si>
  <si>
    <t>Lignite; emulsifier</t>
  </si>
  <si>
    <t>Dakolite (lignite)</t>
  </si>
  <si>
    <t>Lignite; emulsifier; diammonium Phosphate</t>
  </si>
  <si>
    <t>Dap</t>
  </si>
  <si>
    <t>Diamonium phosphate; Shale Control Inhibitors</t>
  </si>
  <si>
    <t>D-Break</t>
  </si>
  <si>
    <t>Viscosity breaker for pure oil systems; Thinners, Dispersants</t>
  </si>
  <si>
    <t>D-Buff</t>
  </si>
  <si>
    <t>pH control - pure oil systems; alkalinity pH control</t>
  </si>
  <si>
    <t>D-Control</t>
  </si>
  <si>
    <t>DD</t>
  </si>
  <si>
    <t>Drilling Detergent; Surface Active Agents</t>
  </si>
  <si>
    <t>Pails not sacks - double check</t>
  </si>
  <si>
    <t>Deepdrill Inhibitor</t>
  </si>
  <si>
    <t>Blend of polyglycerine and methyl glucoside; Shale Control Inhibitors</t>
  </si>
  <si>
    <t>Defoam 2000</t>
  </si>
  <si>
    <t>Silicone based defoamer; defoamer</t>
  </si>
  <si>
    <t>Defoam-2</t>
  </si>
  <si>
    <t>Water miscible for polymer systems; defoamer</t>
  </si>
  <si>
    <t>Defoam-A</t>
  </si>
  <si>
    <t>Alcohol based defoamer; defoamer</t>
  </si>
  <si>
    <t>Defoamer</t>
  </si>
  <si>
    <t>Defoamer Silicone</t>
  </si>
  <si>
    <t>Defoam-X</t>
  </si>
  <si>
    <t>Low toxicity defoamer; defoamer</t>
  </si>
  <si>
    <t>Densimix</t>
  </si>
  <si>
    <t>Hematite; Weighting Materials</t>
  </si>
  <si>
    <t>Desco</t>
  </si>
  <si>
    <t>Organic thinner; Thinners, Dispersants</t>
  </si>
  <si>
    <t>Complete Cr calculations</t>
  </si>
  <si>
    <t>Desco CF</t>
  </si>
  <si>
    <t>Organic thinner; thinner dispersant</t>
  </si>
  <si>
    <t>Detergent L</t>
  </si>
  <si>
    <t>Drilling Mud Detergent; Surface Active Agents</t>
  </si>
  <si>
    <t>Pails not sacks - double check;mictotox check</t>
  </si>
  <si>
    <t>Dextrid</t>
  </si>
  <si>
    <t>Partially dextrinized polysaccharide; Filtrate reducer</t>
  </si>
  <si>
    <t>Dextrid LT</t>
  </si>
  <si>
    <t>Partially dextrinized polysaccharide; Filtrate Reducers</t>
  </si>
  <si>
    <t>DF-19</t>
  </si>
  <si>
    <t>dry PHPA; Flocculants</t>
  </si>
  <si>
    <t>Diamond Seal</t>
  </si>
  <si>
    <t>Absorbent synthetic polymer; Lost Circulation Material</t>
  </si>
  <si>
    <t>Diaseal M</t>
  </si>
  <si>
    <t>Blended LC material; Lost Circulation Material</t>
  </si>
  <si>
    <t>Diesel</t>
  </si>
  <si>
    <t>Drill mud base fluid; hydrocarbon</t>
  </si>
  <si>
    <t>Dipro</t>
  </si>
  <si>
    <t>High density low solids RDF; Systems</t>
  </si>
  <si>
    <t>Disperse</t>
  </si>
  <si>
    <t>Wetting agent, rheology modifier; emulsifier</t>
  </si>
  <si>
    <t>D-Link</t>
  </si>
  <si>
    <t>Viscosity activator-pure oil systems; Viscosifiers</t>
  </si>
  <si>
    <t>DME</t>
  </si>
  <si>
    <t>Non-ionic emulsifier; emulsifier</t>
  </si>
  <si>
    <t>DMS</t>
  </si>
  <si>
    <t>Dowcide G</t>
  </si>
  <si>
    <t>Sodium Pentachlorophenate; bactericides</t>
  </si>
  <si>
    <t>Dril Beads</t>
  </si>
  <si>
    <t>Polymer beads; Lubricants</t>
  </si>
  <si>
    <t>Dril Treat</t>
  </si>
  <si>
    <t>Lecithin liquid; Surface Active Agents</t>
  </si>
  <si>
    <t>Drilcom</t>
  </si>
  <si>
    <t>Polymer and sized carbonate blend; Viscosifiers</t>
  </si>
  <si>
    <t>Dril-con D</t>
  </si>
  <si>
    <t>Blend non-ionic/anionic surface agents; Surface Active Agents</t>
  </si>
  <si>
    <t>Drilcon DS</t>
  </si>
  <si>
    <t>Liquid shale inhibitor; Shale Control Inhibitors</t>
  </si>
  <si>
    <t>Dril-Doktor</t>
  </si>
  <si>
    <t>Microground cellulose; Lost Circulation Material</t>
  </si>
  <si>
    <t>Drilfoam</t>
  </si>
  <si>
    <t>Drill Kan MRP</t>
  </si>
  <si>
    <t>Surface Active Agents</t>
  </si>
  <si>
    <t>Drill Plug C/M</t>
  </si>
  <si>
    <t>Blended sized cellulose fiber; Lost Circulation Material</t>
  </si>
  <si>
    <t>Drilling Detergent</t>
  </si>
  <si>
    <t>Drilling detergent liquid/powder; Surface Active Agents</t>
  </si>
  <si>
    <t>Drillout Plus</t>
  </si>
  <si>
    <t>Amphoteric cellulose ether; Filtrate Reducers</t>
  </si>
  <si>
    <t>DRILLPAC</t>
  </si>
  <si>
    <t>Viscosifier, polyanionic cellulose</t>
  </si>
  <si>
    <t>Drillpac HV</t>
  </si>
  <si>
    <t>Polyanionic cellulose; Viscosifiers</t>
  </si>
  <si>
    <t>Drillpac LV</t>
  </si>
  <si>
    <t>Drill-Thin</t>
  </si>
  <si>
    <t>Chrome-free organic thinner; Thinners, Dispersants</t>
  </si>
  <si>
    <t>Dril-N</t>
  </si>
  <si>
    <t>Non-damaging clay-free polymer based system; Systems</t>
  </si>
  <si>
    <t>Dril-N-Slide</t>
  </si>
  <si>
    <t>Blend of organics; Lubricants</t>
  </si>
  <si>
    <t>Drilplex</t>
  </si>
  <si>
    <t>MMO viscosifier; Viscosifiers</t>
  </si>
  <si>
    <t>Drilstar HT</t>
  </si>
  <si>
    <t>High temperature starch; Filtrate Reducers</t>
  </si>
  <si>
    <t>Drilsurf</t>
  </si>
  <si>
    <t>Biodegradable demulsifier; Surface Active Agents</t>
  </si>
  <si>
    <t>Driltreat</t>
  </si>
  <si>
    <t>Oil wetting agent used to improve flow properties and emulsion stability</t>
  </si>
  <si>
    <t>Driscal D</t>
  </si>
  <si>
    <t>Synthetic HTHP polymer; Filtrate Reducers</t>
  </si>
  <si>
    <t>Drispac</t>
  </si>
  <si>
    <t>Drispac Plus</t>
  </si>
  <si>
    <t>Drispac Plus Superlo</t>
  </si>
  <si>
    <t>Drispac Superlo</t>
  </si>
  <si>
    <t>DSCO Beads</t>
  </si>
  <si>
    <t>DSCO Defoam</t>
  </si>
  <si>
    <t>Propietary defoamer; defoamer</t>
  </si>
  <si>
    <t>D-Thins</t>
  </si>
  <si>
    <t>Thinner for pure oil systems; Thinners, Dispersants</t>
  </si>
  <si>
    <t>Dual-Flo</t>
  </si>
  <si>
    <t>Filtrate Reducer; Filtrate Reducers</t>
  </si>
  <si>
    <t>Duo-Vis</t>
  </si>
  <si>
    <t>Xanthan gum, dispersible, non-clarified; Viscosifiers</t>
  </si>
  <si>
    <t>Duratone Ht</t>
  </si>
  <si>
    <t>Organophilic colloid powder; Filtrate Reducers</t>
  </si>
  <si>
    <t>Durenex Plus</t>
  </si>
  <si>
    <t>High-temp sulfonated co-polymer; Filtrate Reducers</t>
  </si>
  <si>
    <t>D-Vis</t>
  </si>
  <si>
    <t>Viscosifier - pure oil systems; Viscosifiers</t>
  </si>
  <si>
    <t>Dynadet</t>
  </si>
  <si>
    <t>Drilling fluid detergent; Surface Active Agents</t>
  </si>
  <si>
    <t>Dynafiber</t>
  </si>
  <si>
    <t>Cellulose fiber; Lost Circulation Material</t>
  </si>
  <si>
    <t>Dynared</t>
  </si>
  <si>
    <t>Ground natural fiber; Lost Circulation Material</t>
  </si>
  <si>
    <t>Ecodrill 317</t>
  </si>
  <si>
    <t>Potassium silicate; Shale Control Inhibitors</t>
  </si>
  <si>
    <t>Ecogreen B</t>
  </si>
  <si>
    <t>Ester base fluid; Drill Mud Base Fluids</t>
  </si>
  <si>
    <t>Ecogreen P</t>
  </si>
  <si>
    <t>Primary emulsifier for Ecogreen system; emulsifier</t>
  </si>
  <si>
    <t>Ecogreen S</t>
  </si>
  <si>
    <t>Secondary emulsifier for Ecogreen system; emulsifier</t>
  </si>
  <si>
    <t>Ecotrol</t>
  </si>
  <si>
    <t>Polymeric filtrate reducer; Filtrate Reducers</t>
  </si>
  <si>
    <t>EK 2000 Degreaser</t>
  </si>
  <si>
    <t>Detergent/cleaner; Surface Active Agents</t>
  </si>
  <si>
    <t>Emul-Break</t>
  </si>
  <si>
    <t>Emulsion breaker; Surface Active Agents</t>
  </si>
  <si>
    <t>Emulgo</t>
  </si>
  <si>
    <t>Chalk base emulsion; emulsifier</t>
  </si>
  <si>
    <t>Encapsorfloc</t>
  </si>
  <si>
    <t>Liquid polyacrylamide; Flocculants</t>
  </si>
  <si>
    <t>Encapsulator</t>
  </si>
  <si>
    <t>Enkapsafloc</t>
  </si>
  <si>
    <t>Enviro KII</t>
  </si>
  <si>
    <t>Amine Salt; Shale Stabilizer</t>
  </si>
  <si>
    <t>Envirodrill</t>
  </si>
  <si>
    <t>Envirofloc</t>
  </si>
  <si>
    <t>Inorganic biodegradable flocculant (calcium nitrate); Flocculants</t>
  </si>
  <si>
    <t>Envirolube</t>
  </si>
  <si>
    <t>Non-oil based drilling lubricant</t>
  </si>
  <si>
    <t>Enviroplug</t>
  </si>
  <si>
    <t>Enviro-Spot</t>
  </si>
  <si>
    <t>Oil mud concentrate; Lubricants</t>
  </si>
  <si>
    <t>Enviro-Thin</t>
  </si>
  <si>
    <t>Chrome-free iron lignosulphonate; Thinners, Dispersants</t>
  </si>
  <si>
    <t>Enviro-Torq</t>
  </si>
  <si>
    <t>Non-toxic lubricant; Lubricants</t>
  </si>
  <si>
    <t>Envirovert</t>
  </si>
  <si>
    <t>Chloride free OBM; Systems</t>
  </si>
  <si>
    <t>Extra High Yeild Bentonite</t>
  </si>
  <si>
    <t>EZ Drill</t>
  </si>
  <si>
    <t>Non-foaming vegetable oil blend; Lubricants</t>
  </si>
  <si>
    <t>EZ MUL</t>
  </si>
  <si>
    <t>Oil-soluble surfactant liquid non-toxic; emulsifier</t>
  </si>
  <si>
    <t>Ez Mul NT</t>
  </si>
  <si>
    <t>Ezcore</t>
  </si>
  <si>
    <t>In situ invert emulsifier; emulsifier</t>
  </si>
  <si>
    <t>EZE-Slide</t>
  </si>
  <si>
    <t>Liquid lubricant; Lubricants</t>
  </si>
  <si>
    <t>EZE-Slide D</t>
  </si>
  <si>
    <t>Ezeslide OS</t>
  </si>
  <si>
    <t>Ezeslide XLT</t>
  </si>
  <si>
    <t>Ez-Glide</t>
  </si>
  <si>
    <t>Blend of surfactants; Lubricants</t>
  </si>
  <si>
    <t>EZ-Mud</t>
  </si>
  <si>
    <t>Polyacrylamide polyacrylate; Shale Control Inhibitors</t>
  </si>
  <si>
    <t xml:space="preserve">Petroleum Distillate; PHC calculations using DST calculations; enter volume of EZ mud into volume of additive in place of "volume of returns" and additive's oil content in the "oil content" (from the SDS, we will use the high end (30%) column. If there were 7 pails added, if we assume 5 gal (19L) pails= 133L = 0.133 m3 for volume of returns. If we don’t know the ID,  use the default of 97.2mm. You will need to explain what you have done in the comments section of the checklist so that it is clear to the reviewer how the hydrocarbon additives were addressed and what assumptions we made. </t>
  </si>
  <si>
    <t>EZ-Mud DP</t>
  </si>
  <si>
    <t>Shale stabilizing polyacrylamide; Shale Control Inhibitors</t>
  </si>
  <si>
    <t>Petroleum Distillate free</t>
  </si>
  <si>
    <t>EZ-Plug</t>
  </si>
  <si>
    <t>Acid soluble blend of LCM; Lost Circulation Material</t>
  </si>
  <si>
    <t>EZ-Spot</t>
  </si>
  <si>
    <t>Blend of emulsifiers, lubricants and viscosifiers; Lubricants</t>
  </si>
  <si>
    <t>FA liquid phpa</t>
  </si>
  <si>
    <t>Liquid polyacrylamide; Shale Control Inhibitors</t>
  </si>
  <si>
    <t>Faze-Mul</t>
  </si>
  <si>
    <t>Emulsifier for Fazepro system; emulsifier</t>
  </si>
  <si>
    <t>Fazepro</t>
  </si>
  <si>
    <t>Reversible-wetting invert emulsion mud; Systems</t>
  </si>
  <si>
    <t>Fed Pac R</t>
  </si>
  <si>
    <t>Fed Pac R/UL</t>
  </si>
  <si>
    <t>Fed Pac UL</t>
  </si>
  <si>
    <t>Fed Seal</t>
  </si>
  <si>
    <t>Blended lost circulation material</t>
  </si>
  <si>
    <t>Fed Zan D</t>
  </si>
  <si>
    <t>Xanthan gum viscosifier</t>
  </si>
  <si>
    <t>Federal Barite</t>
  </si>
  <si>
    <t>API spec barite; Weighting Materials</t>
  </si>
  <si>
    <t>Federal Bentonite</t>
  </si>
  <si>
    <t>Sodium montmorillonite untreated; viscosifier</t>
  </si>
  <si>
    <t>Federal Supreme</t>
  </si>
  <si>
    <t>Sodium montmorillonite; Viscosifiers</t>
  </si>
  <si>
    <t>Federal Untreated</t>
  </si>
  <si>
    <t>Fed-Mix II</t>
  </si>
  <si>
    <t>Blended LCM; Lost Circulation Material</t>
  </si>
  <si>
    <t>Fed-Rheosmaty</t>
  </si>
  <si>
    <t>Fed-Seal</t>
  </si>
  <si>
    <t>Fedxan D</t>
  </si>
  <si>
    <t>Xanthan gum viscosifier; Viscosifiers</t>
  </si>
  <si>
    <t>Fer-Ox</t>
  </si>
  <si>
    <t>Ground hematite; Weighting Materials</t>
  </si>
  <si>
    <t>Ferrowate</t>
  </si>
  <si>
    <t>Ferrous carbonate; Weighting Materials</t>
  </si>
  <si>
    <t>Fiber Fluid Coarse</t>
  </si>
  <si>
    <t>Fiber Fluid Fine</t>
  </si>
  <si>
    <t>Fibersol</t>
  </si>
  <si>
    <t>Acid soluble LCM; Lost Circulation Material</t>
  </si>
  <si>
    <t>Fibreseal</t>
  </si>
  <si>
    <t>Acid soluble LCM; lost circulation material</t>
  </si>
  <si>
    <t>FilDril K</t>
  </si>
  <si>
    <t>Filter-Chek</t>
  </si>
  <si>
    <t>High-Temp Modified Starch; Filtrate Reducers</t>
  </si>
  <si>
    <t>Filtravis</t>
  </si>
  <si>
    <t>Polymeric viscosifier/fluid loss reducer used in conjunction with bentonite; Viscosifiers</t>
  </si>
  <si>
    <t>Filtravis II</t>
  </si>
  <si>
    <t>Enhanced foam viscosifier; Viscosifiers</t>
  </si>
  <si>
    <t>Filtrex</t>
  </si>
  <si>
    <t>Polyanionic lignin resin; Filtrate Reducers</t>
  </si>
  <si>
    <t>FL-2</t>
  </si>
  <si>
    <t>Water-soluble hydro colloids; Filtrate Reducers</t>
  </si>
  <si>
    <t>FL-3</t>
  </si>
  <si>
    <t>FL-4</t>
  </si>
  <si>
    <t>FL-5</t>
  </si>
  <si>
    <t>FL-6</t>
  </si>
  <si>
    <t>FL-7 Plus</t>
  </si>
  <si>
    <t>FL-9</t>
  </si>
  <si>
    <t>Flake</t>
  </si>
  <si>
    <t>FLOC</t>
  </si>
  <si>
    <t>Dewatering material</t>
  </si>
  <si>
    <t>Flo-Plex</t>
  </si>
  <si>
    <t>Polymeric fluid loss additive; Filtrate Reducers</t>
  </si>
  <si>
    <t>Flopro NT</t>
  </si>
  <si>
    <t>Minimal solids non-damaging WBM; Systems</t>
  </si>
  <si>
    <t>Flo-Trol</t>
  </si>
  <si>
    <t>Modified starch derivitive; Filtrate Reducers</t>
  </si>
  <si>
    <t>Flo-Vis Plus</t>
  </si>
  <si>
    <t>Premium xanthan gum; Viscosifiers</t>
  </si>
  <si>
    <t>Flowzan</t>
  </si>
  <si>
    <t>Xanthan gum dispersible; Viscosifiers</t>
  </si>
  <si>
    <t>Floxit</t>
  </si>
  <si>
    <t>Organic flocculant; Flocculants</t>
  </si>
  <si>
    <t>Foam Breaker</t>
  </si>
  <si>
    <t>Foam Buster</t>
  </si>
  <si>
    <t>Mechanical/Chemical defoamer; defoamer</t>
  </si>
  <si>
    <t>Foam Check</t>
  </si>
  <si>
    <t>Form-A-Plug</t>
  </si>
  <si>
    <t>Acid soluble plug; Lost Circulation Material</t>
  </si>
  <si>
    <t>Form-A-Plug II</t>
  </si>
  <si>
    <t>Acid soluble plug with smaller particles; Lost Circulation Material</t>
  </si>
  <si>
    <t>Form-A-Set AK</t>
  </si>
  <si>
    <t>Polymeric LCM; Lost Circulation Material</t>
  </si>
  <si>
    <t>Form-A-Set ALT</t>
  </si>
  <si>
    <t>Polymeric LCM for cold climates; Lost Circulation Material</t>
  </si>
  <si>
    <t>Form-A-Set II</t>
  </si>
  <si>
    <t>FS Liquid PHPA</t>
  </si>
  <si>
    <t>Liquid polyacrilimide; Flocculants</t>
  </si>
  <si>
    <t>fx Brine</t>
  </si>
  <si>
    <t>fx Mul I</t>
  </si>
  <si>
    <t>Primary emulsifier; emulsifier</t>
  </si>
  <si>
    <t>fx Mul II</t>
  </si>
  <si>
    <t>Secondary emulsifier; emulsifier</t>
  </si>
  <si>
    <t>fx Oil Scrub</t>
  </si>
  <si>
    <t>Oil soluble sulphide scavenger; corrosion inhibitor</t>
  </si>
  <si>
    <t>fx Poly</t>
  </si>
  <si>
    <t>Blend of polymers; Viscosifiers</t>
  </si>
  <si>
    <t>fx Scrub</t>
  </si>
  <si>
    <t>Water soluble sulphide scavenger; corrosion inhibitor</t>
  </si>
  <si>
    <t>fx Thin</t>
  </si>
  <si>
    <t>Deflocculant; Thinners, Dispersants</t>
  </si>
  <si>
    <t>Galena</t>
  </si>
  <si>
    <t>Lead sulphide powder; Weighting Materials</t>
  </si>
  <si>
    <t>Gel</t>
  </si>
  <si>
    <t>Sodium montmorillonite or Attapulgite; Viscosifiers; also known as Bentonite</t>
  </si>
  <si>
    <t>Gelex</t>
  </si>
  <si>
    <t>Geltone II</t>
  </si>
  <si>
    <t>Oil mud gelling agent; Viscosifiers</t>
  </si>
  <si>
    <t>Invert, hydrocarbons?</t>
  </si>
  <si>
    <t>Geltone IV</t>
  </si>
  <si>
    <t>Polymer treated organophilic clay; Viscosifiers</t>
  </si>
  <si>
    <t>Geltone V</t>
  </si>
  <si>
    <t>Amine treated organophilic clay; Viscosifiers</t>
  </si>
  <si>
    <t>Geovis XT</t>
  </si>
  <si>
    <t>HT stable bioploymer; Viscosifiers</t>
  </si>
  <si>
    <t>Gilsonite</t>
  </si>
  <si>
    <t>Natural bitumen; Shale Control Inhibitors</t>
  </si>
  <si>
    <t>Gilsonite HT</t>
  </si>
  <si>
    <t>Natural bitumen pulverized; Filtrate Reducers</t>
  </si>
  <si>
    <t>Glass Beads</t>
  </si>
  <si>
    <t>Sized glass beads; Lubricants</t>
  </si>
  <si>
    <t>Glide Graph 7001</t>
  </si>
  <si>
    <t>Resilient spherical graphite inert; Lubricants</t>
  </si>
  <si>
    <t>Glydril</t>
  </si>
  <si>
    <t>Polyalkylene glycol; Shale Control Inhibitors</t>
  </si>
  <si>
    <t>Glycols</t>
  </si>
  <si>
    <t>Go Devil II</t>
  </si>
  <si>
    <t>Provides LSRV for AHPHRON ICS system; Viscosifiers</t>
  </si>
  <si>
    <t>Graphite Powder</t>
  </si>
  <si>
    <t>Graphite; Lubricants</t>
  </si>
  <si>
    <t>Greencide</t>
  </si>
  <si>
    <t>Non-U.S. Biocide; bactericides</t>
  </si>
  <si>
    <t>G-Seal</t>
  </si>
  <si>
    <t>Graphite plugging agent; Lost Circulation Material</t>
  </si>
  <si>
    <t>Gumbo Shield</t>
  </si>
  <si>
    <t>Gypsum</t>
  </si>
  <si>
    <t>Calcium sulphate; Shale Control Inhibitors</t>
  </si>
  <si>
    <t>H.E.C.</t>
  </si>
  <si>
    <t>Hydroxyehtyl cellulose; Viscosifiers</t>
  </si>
  <si>
    <t>H.M.E. Coupler</t>
  </si>
  <si>
    <t>Hibtrol</t>
  </si>
  <si>
    <t>High Permas</t>
  </si>
  <si>
    <t>Amine; Shale Control Inhibitors</t>
  </si>
  <si>
    <t>High Yield Bentonite</t>
  </si>
  <si>
    <t>High grade Wyoming sodium bentonite; clay, viscosifier</t>
  </si>
  <si>
    <t>HSO 600 G</t>
  </si>
  <si>
    <t>Oil-soluble H2S scavenger; corrosion inhibitor</t>
  </si>
  <si>
    <t>HSW 705</t>
  </si>
  <si>
    <t>Liquid H2S scavenger; corrosion inhibitor</t>
  </si>
  <si>
    <t>HSW0705</t>
  </si>
  <si>
    <t>Humalite</t>
  </si>
  <si>
    <t>Lignite; Thinners, Dispersants</t>
  </si>
  <si>
    <t>Hydrogel</t>
  </si>
  <si>
    <t>Hydro-Guard</t>
  </si>
  <si>
    <t>High performance WBM; Systems</t>
  </si>
  <si>
    <t>Hydro-Plug</t>
  </si>
  <si>
    <t>Polymeric LCM for vugular or cavernous formations; Lost Circulation Material</t>
  </si>
  <si>
    <t>Hyperdrill AD855</t>
  </si>
  <si>
    <t>Hyperdrill AE851</t>
  </si>
  <si>
    <t>Hyperdrill AF204RD</t>
  </si>
  <si>
    <t>Anionic polyacrylamide; Flocculants</t>
  </si>
  <si>
    <t>Hyperdrill AF207RD</t>
  </si>
  <si>
    <t>Hyperdrill AF247RD</t>
  </si>
  <si>
    <t>Hyperdrill CP 905H</t>
  </si>
  <si>
    <t>HMW cationic PHPA; Shale Control Inhibitors</t>
  </si>
  <si>
    <t>Hyperfloc CP910</t>
  </si>
  <si>
    <t>Cationic polyacrylamide; Flocculants</t>
  </si>
  <si>
    <t>Hyperfloc CP911</t>
  </si>
  <si>
    <t>Hyperfloc NF301</t>
  </si>
  <si>
    <t>Non-ionic polyacrylamide; Flocculants</t>
  </si>
  <si>
    <t>Hypochlorite</t>
  </si>
  <si>
    <t>Sodium or Calcium Hypochlorite; oxidize and degrade polymers; bactericides</t>
  </si>
  <si>
    <t>Hysal-Plus</t>
  </si>
  <si>
    <t>Water soluble filtrate additive brines; Filtrate Reducers</t>
  </si>
  <si>
    <t>I - Step Pak</t>
  </si>
  <si>
    <t>Multi-funct. Packer fluid inhib &amp; freeze protection; corrosion inhibitor</t>
  </si>
  <si>
    <t>IC- foam 1978</t>
  </si>
  <si>
    <t>Winterized foamer (water soluble); Foaming Agents</t>
  </si>
  <si>
    <t>IC-CORR 7029</t>
  </si>
  <si>
    <t>Winterized liquid corrosion inhibitor (oil soluble); corrosion inhibitor</t>
  </si>
  <si>
    <t>IC-CORR 8551</t>
  </si>
  <si>
    <t>Liquid corrosion inhibitor (water soluble); corrosion inhibitor</t>
  </si>
  <si>
    <t>IC-DEFOAM 1489</t>
  </si>
  <si>
    <t>Winterized antifoam (water soluble); defoamer</t>
  </si>
  <si>
    <t>IC-DEFOAM 1983</t>
  </si>
  <si>
    <t>Winterized antifoam (oil soluble); defoamer</t>
  </si>
  <si>
    <t>IC-floc 2069</t>
  </si>
  <si>
    <t>Microtox friendly liquid flocculant (water soluble); Flocculants</t>
  </si>
  <si>
    <t>IC-floc 2200</t>
  </si>
  <si>
    <t>IC-foam 1401</t>
  </si>
  <si>
    <t>Winterized foaming agent (water soluble); Foaming Agents</t>
  </si>
  <si>
    <t>IC-foam 1540</t>
  </si>
  <si>
    <t>Winterized oil foaming agent; Foaming Agents</t>
  </si>
  <si>
    <t>IC-foam 1336</t>
  </si>
  <si>
    <t>Multi-charge capable foaming agent (water soluble); Foaming Agents</t>
  </si>
  <si>
    <t>IC-HSCAV 4412</t>
  </si>
  <si>
    <t>Winterized liquid H2S scavenger (oil soluble); corrosion inhibitor</t>
  </si>
  <si>
    <t>IC-HSCAV 4751</t>
  </si>
  <si>
    <t>Winterized liquid scavenger (water soluble high-temp); corrosion inhibitor</t>
  </si>
  <si>
    <t>IC-HSCAV 4935</t>
  </si>
  <si>
    <t>Winterized liquid H2S scavenger (water soluble); corrosion inhibitor</t>
  </si>
  <si>
    <t>IC-OSCAV 1050</t>
  </si>
  <si>
    <t>Winterized catalyzed oxygen scavenger; corrosion inhibitor</t>
  </si>
  <si>
    <t>IC-Wet</t>
  </si>
  <si>
    <t>water wetting agent (winterized); Surface Active Agents</t>
  </si>
  <si>
    <t>Idcap D</t>
  </si>
  <si>
    <t>Idlube</t>
  </si>
  <si>
    <t>Refined vegetable oil; Lubricants</t>
  </si>
  <si>
    <t>Idlube XL</t>
  </si>
  <si>
    <t>Extreme pressure lubricant; Lubricants</t>
  </si>
  <si>
    <t>Imco Bar</t>
  </si>
  <si>
    <t>Barite; Weighting Materials</t>
  </si>
  <si>
    <t>Imco Best</t>
  </si>
  <si>
    <t>Asbestos fibers; Viscosifiers</t>
  </si>
  <si>
    <t>Asbestos testing?</t>
  </si>
  <si>
    <t>Imco Brinegel</t>
  </si>
  <si>
    <t>Attapulgite; Viscosifiers</t>
  </si>
  <si>
    <t>Imco Cal</t>
  </si>
  <si>
    <t>Calcium lignosulfate; Thinners, Dispersants</t>
  </si>
  <si>
    <t>Imco CMC (reg,hivis,tech)</t>
  </si>
  <si>
    <t>Imco Defoam</t>
  </si>
  <si>
    <t>Sodium alkyl aryl sulfonate; defoamer</t>
  </si>
  <si>
    <t>Imco EP Lube</t>
  </si>
  <si>
    <t>extreme pressure lubricant; Lubricants</t>
  </si>
  <si>
    <t>Imco Flakes</t>
  </si>
  <si>
    <t>Imco Flo</t>
  </si>
  <si>
    <t>Hemlock extract; Thinners, Dispersants</t>
  </si>
  <si>
    <t>Imco Floc</t>
  </si>
  <si>
    <t>Flocculating agent; Flocculants</t>
  </si>
  <si>
    <t>Imco Foamban</t>
  </si>
  <si>
    <t>Surface active dispersible liquid defoamer; defoamer</t>
  </si>
  <si>
    <t>Imco Freepipe</t>
  </si>
  <si>
    <t>Oil soluble surfactants; Lubricants</t>
  </si>
  <si>
    <t>Imco Fyber</t>
  </si>
  <si>
    <t>Fibrous material; Lost Circulation Material</t>
  </si>
  <si>
    <t>Imco Gel</t>
  </si>
  <si>
    <t>Bentonite; Viscosifiers</t>
  </si>
  <si>
    <t>Imco Gelex</t>
  </si>
  <si>
    <t>Imco Holecoat</t>
  </si>
  <si>
    <t>Water dispersible ashphalt; Lubricants</t>
  </si>
  <si>
    <t>Imco Hyb</t>
  </si>
  <si>
    <t>Beneficiated bentonite; Viscosifiers</t>
  </si>
  <si>
    <t>Imco Ken-Gel</t>
  </si>
  <si>
    <t>Viscosifier &amp; gelling agent; Viscosifiers</t>
  </si>
  <si>
    <t>Imco Kenol-S</t>
  </si>
  <si>
    <t>Invert emulsion system; Systems</t>
  </si>
  <si>
    <t>Invert, hydrocarbons</t>
  </si>
  <si>
    <t>Imco Kenol-S(D)</t>
  </si>
  <si>
    <t>Imco Kenox</t>
  </si>
  <si>
    <t>Calcium oxide; Shale Control Inhibitors</t>
  </si>
  <si>
    <t>Imco Ken-Pak</t>
  </si>
  <si>
    <t>Specially modified saponified fatty acid chemicals; emulsifier</t>
  </si>
  <si>
    <t>Gelatinous oil base fluid; Systems</t>
  </si>
  <si>
    <t>Imco Ken-Supreme</t>
  </si>
  <si>
    <t>Oil base mud; Systems</t>
  </si>
  <si>
    <t>Imco Ken-Supreme A</t>
  </si>
  <si>
    <t>Fatty acid emulsifier; emulsifier</t>
  </si>
  <si>
    <t>Imco Ken-Supreme B</t>
  </si>
  <si>
    <t>Emulsion stabilzer; emulsifier</t>
  </si>
  <si>
    <t>Imco Ken-Thin</t>
  </si>
  <si>
    <t>Dispersant; Thinners, Dispersants</t>
  </si>
  <si>
    <t>Imco Ken-X</t>
  </si>
  <si>
    <t>High temperature stabilizer; emulsifier</t>
  </si>
  <si>
    <t>Imco Klay</t>
  </si>
  <si>
    <t>Sub-bentonite; Viscosifiers</t>
  </si>
  <si>
    <t>Imco Kwikseal</t>
  </si>
  <si>
    <t>Combination of granules,flakes and fibrous materials; Lost Circulation Material</t>
  </si>
  <si>
    <t>Imco Lig</t>
  </si>
  <si>
    <t>Mined lignite; Thinners, Dispersants</t>
  </si>
  <si>
    <t>Imco Loid</t>
  </si>
  <si>
    <t>Pregeletanized starch; Filtrate Reducers</t>
  </si>
  <si>
    <t>Imco Lubrikleen</t>
  </si>
  <si>
    <t>Organic entity neutralized with amines; Lubricants</t>
  </si>
  <si>
    <t>Imco MD</t>
  </si>
  <si>
    <t>Detergent; Lubricants</t>
  </si>
  <si>
    <t>Imco Mud Oil</t>
  </si>
  <si>
    <t>Oil dispersible ashphalt; Lubricants</t>
  </si>
  <si>
    <t>Imco Myca (F,C)</t>
  </si>
  <si>
    <t>Ground Mica; Lost Circulation Material</t>
  </si>
  <si>
    <t>Imco Oil-X</t>
  </si>
  <si>
    <t>Low cost invert emulsion system; Systems</t>
  </si>
  <si>
    <t>Imco Phos</t>
  </si>
  <si>
    <t>Sodium tetraphosphate; Thinners, Dispersants</t>
  </si>
  <si>
    <t>Imco Plug (F,M,C)</t>
  </si>
  <si>
    <t>Walnut shells; Lost Circulation Material</t>
  </si>
  <si>
    <t>Imco Preservaloid</t>
  </si>
  <si>
    <t>Paraformaldehyde; bactericides</t>
  </si>
  <si>
    <t>Imco PT-102</t>
  </si>
  <si>
    <t>Imco QBT</t>
  </si>
  <si>
    <t>Quebracho compound; Thinners, Dispersants</t>
  </si>
  <si>
    <t>Imco RD-111</t>
  </si>
  <si>
    <t>Blended lignosulfonate blend; Thinners, Dispersants</t>
  </si>
  <si>
    <t>Imco SCR</t>
  </si>
  <si>
    <t>Shale control reagent; Specialty products</t>
  </si>
  <si>
    <t>Imco Spot</t>
  </si>
  <si>
    <t>Blend of fatty acids, sulfonates &amp; ashphaltic materials; Lubricants</t>
  </si>
  <si>
    <t>Imco Sulf-X</t>
  </si>
  <si>
    <t>Specially blended zinc carbonate; corrosion inhibitor</t>
  </si>
  <si>
    <t>Imco SWS</t>
  </si>
  <si>
    <t>Blend of anionic surfactants; emulsifier</t>
  </si>
  <si>
    <t>Imco Thin</t>
  </si>
  <si>
    <t>Causticized Lignite; Thinners, Dispersants</t>
  </si>
  <si>
    <t>Imco VC-10</t>
  </si>
  <si>
    <t>Modified lignosulfonate; Thinners, Dispersants</t>
  </si>
  <si>
    <t>Imco VR</t>
  </si>
  <si>
    <t>Stabilizes borehole conditions; emulsifier</t>
  </si>
  <si>
    <t>Imco Wate</t>
  </si>
  <si>
    <t>Imco Wool</t>
  </si>
  <si>
    <t>Fibrous material wool; Lost Circulation Material</t>
  </si>
  <si>
    <t>Imco XC</t>
  </si>
  <si>
    <t>Bacterially produced polymer; Viscosifiers</t>
  </si>
  <si>
    <t>Impermex</t>
  </si>
  <si>
    <t>Inhibi-drill</t>
  </si>
  <si>
    <t>Cationic organic mulitvalent inhibitor; Shale Control Inhibitors</t>
  </si>
  <si>
    <t>Inhibox</t>
  </si>
  <si>
    <t>Insta-Flake</t>
  </si>
  <si>
    <t>Flake calcium carbonate; Lost Circulation Material</t>
  </si>
  <si>
    <t>Invermul</t>
  </si>
  <si>
    <t>Oil mud stabilizer non-toxic; emulsifier</t>
  </si>
  <si>
    <t>Invermul NT</t>
  </si>
  <si>
    <t>Invert HT-40</t>
  </si>
  <si>
    <t>Oil mud stabilizer; emulsifier</t>
  </si>
  <si>
    <t>Jelflake</t>
  </si>
  <si>
    <t>Shredded cellophane; Lost Circulation Material</t>
  </si>
  <si>
    <t>Jet Cide 250</t>
  </si>
  <si>
    <t>Gluteraldehyde; bactericides</t>
  </si>
  <si>
    <t>Jet Hib 5000</t>
  </si>
  <si>
    <t>H2S scavenger; corrosion inhibitor</t>
  </si>
  <si>
    <t>Jet Hib 5426</t>
  </si>
  <si>
    <t>Corrosion inhibitor; corrosion inhibitor</t>
  </si>
  <si>
    <t>Jet Hib 5432</t>
  </si>
  <si>
    <t>Jet Stim 8000</t>
  </si>
  <si>
    <t>Drilling detergent; Surface Active Agents</t>
  </si>
  <si>
    <t>K-2</t>
  </si>
  <si>
    <t>K2 (Enviro K2)</t>
  </si>
  <si>
    <t>Potassium mud product; Systems</t>
  </si>
  <si>
    <t>Kari</t>
  </si>
  <si>
    <t>Stabilized HEC; Viscosifiers</t>
  </si>
  <si>
    <t>KD 700</t>
  </si>
  <si>
    <t>Corrosion and carbonate scale inhibitor</t>
  </si>
  <si>
    <t>KD-40</t>
  </si>
  <si>
    <t>Phosphate ester corrosion inhibitor; corrosion inhibitor</t>
  </si>
  <si>
    <t>Kelzan L</t>
  </si>
  <si>
    <t>Liquid xanthan gum; Viscosifiers</t>
  </si>
  <si>
    <t>Kelzan XC</t>
  </si>
  <si>
    <t>Xanthan gum; Viscosifiers</t>
  </si>
  <si>
    <t>Kelzan XCD</t>
  </si>
  <si>
    <t>Dispersible grade xanthan gum; Viscosifiers</t>
  </si>
  <si>
    <t>Kem-Seal</t>
  </si>
  <si>
    <t>Co-polymer for high-temp filtration control; Filtrate Reducers</t>
  </si>
  <si>
    <t>Kim-Mud</t>
  </si>
  <si>
    <t>Polymer and sized carbonate; Viscosifiers</t>
  </si>
  <si>
    <t>Kontrol</t>
  </si>
  <si>
    <t>K-Power</t>
  </si>
  <si>
    <t>Potassium nitrate; Shale Control Inhibitors</t>
  </si>
  <si>
    <t>Kwik-Seal</t>
  </si>
  <si>
    <t>L.C.M</t>
  </si>
  <si>
    <t>Lost circulation Material; Cellulose</t>
  </si>
  <si>
    <t>LC-LUBE</t>
  </si>
  <si>
    <t>Low toxicity lubricant</t>
  </si>
  <si>
    <t>LD-8</t>
  </si>
  <si>
    <t>Nonhydrocarbon defoamer; defoamer</t>
  </si>
  <si>
    <t>LD-9</t>
  </si>
  <si>
    <t>Polyether polyol defoamer for both fresh &amp; saltwater drilling fluids; defoamer</t>
  </si>
  <si>
    <t>Le Mul</t>
  </si>
  <si>
    <t>LAO emulsion stabilizer; emulsifier</t>
  </si>
  <si>
    <t>Le Supermul</t>
  </si>
  <si>
    <t>LAO emulsifier; emulsifier</t>
  </si>
  <si>
    <t>Ligco</t>
  </si>
  <si>
    <t>Ligcon</t>
  </si>
  <si>
    <t>Lignite</t>
  </si>
  <si>
    <t>Lignite (Humic acid); Thinners, Dispersants</t>
  </si>
  <si>
    <t>Lignite, Causticized</t>
  </si>
  <si>
    <t>Lignite, causticized; Thinners, Dispersants</t>
  </si>
  <si>
    <t>Lignocal</t>
  </si>
  <si>
    <t>Lime</t>
  </si>
  <si>
    <t>Hydrated Lime; alkalinity pH control</t>
  </si>
  <si>
    <t>Liquid Drispac</t>
  </si>
  <si>
    <t>Liquid Flowzan</t>
  </si>
  <si>
    <t>Suspended xanthan gum; Viscosifiers</t>
  </si>
  <si>
    <t>Liquid HEC</t>
  </si>
  <si>
    <t>Suspended HEC; Viscosifiers</t>
  </si>
  <si>
    <t>Liquidbeads</t>
  </si>
  <si>
    <t>Liquid lubricant with beads; Lubricants</t>
  </si>
  <si>
    <t>Liqui-Dril</t>
  </si>
  <si>
    <t>ROP enhancer; Lubricants</t>
  </si>
  <si>
    <t>Liquigel</t>
  </si>
  <si>
    <t>Liquid dispersed xanthan gum; Viscosifiers</t>
  </si>
  <si>
    <t>Liquisperse</t>
  </si>
  <si>
    <t>Concentrated surfactant; Surface Active Agents</t>
  </si>
  <si>
    <t>Liqui-Vis EP</t>
  </si>
  <si>
    <t>Dispersed liquid HEC; Viscosifiers</t>
  </si>
  <si>
    <t>Lube-100</t>
  </si>
  <si>
    <t>Low toxicity lubricant; Lubricants</t>
  </si>
  <si>
    <t>Lubra-Beads</t>
  </si>
  <si>
    <t>Divinyl benzene styrene beads; Lubricants</t>
  </si>
  <si>
    <t>Lubrafiber</t>
  </si>
  <si>
    <t>Modified cellulose fiber; Lost Circulation Material</t>
  </si>
  <si>
    <t>Lubra-Glide</t>
  </si>
  <si>
    <t>Lubra-Seal</t>
  </si>
  <si>
    <t>Lubra-Seal C</t>
  </si>
  <si>
    <t>Sized cellulose fiber; Lost Circulation Material</t>
  </si>
  <si>
    <t>Lubra-Seal M</t>
  </si>
  <si>
    <t>Magcobar</t>
  </si>
  <si>
    <t>Magcogel</t>
  </si>
  <si>
    <t xml:space="preserve">Sodium Montmorillinite; </t>
  </si>
  <si>
    <t>Magma Fiber</t>
  </si>
  <si>
    <t>Acid soluble spun mineral fiber; Lost Circulation Material</t>
  </si>
  <si>
    <t>Magnafloc 10</t>
  </si>
  <si>
    <t>V. high mol wt. Anionic polyacrylamide; Flocculants</t>
  </si>
  <si>
    <t>Magnafloc 24</t>
  </si>
  <si>
    <t>High Mol. Wt. Anioniic polyacrylamide; Flocculants</t>
  </si>
  <si>
    <t>Magnafloc 351</t>
  </si>
  <si>
    <t>V. high mol wt. Non- ionic; Flocculants</t>
  </si>
  <si>
    <t>Magnafloc 368</t>
  </si>
  <si>
    <t>Low mol. Wt. Cationic coagulant; Flocculants</t>
  </si>
  <si>
    <t>Magnesium Oxide</t>
  </si>
  <si>
    <t>pH buffering agent; alkalinity pH control</t>
  </si>
  <si>
    <t>Maxdril-N</t>
  </si>
  <si>
    <t>Mixed metal silicate system; Systems</t>
  </si>
  <si>
    <t>MD</t>
  </si>
  <si>
    <t>Biodegradable drilling fluid detergent; Surface Active Agents</t>
  </si>
  <si>
    <t>MF 30L</t>
  </si>
  <si>
    <t>MF BASEal</t>
  </si>
  <si>
    <t>MF Basemul</t>
  </si>
  <si>
    <t>Surfactant; Surface Active Agents</t>
  </si>
  <si>
    <t>MF Emul</t>
  </si>
  <si>
    <t>Primary Emulsifier; Surface Active Agents</t>
  </si>
  <si>
    <t>MF Pac LV</t>
  </si>
  <si>
    <t>MF Pac R</t>
  </si>
  <si>
    <t>MF Rigmate</t>
  </si>
  <si>
    <t>Rig equipment protector; Surface Active Agents</t>
  </si>
  <si>
    <t>MF Sil Floc</t>
  </si>
  <si>
    <t>Low mol. wt. cationic; Flocculants</t>
  </si>
  <si>
    <t>MF Silglide</t>
  </si>
  <si>
    <t>Lubricants</t>
  </si>
  <si>
    <t>MF Silsoap</t>
  </si>
  <si>
    <t>Rig equipment cleaner; Surface Active Agents</t>
  </si>
  <si>
    <t>MF-1</t>
  </si>
  <si>
    <t>Selective flocculant; Flocculants</t>
  </si>
  <si>
    <t>MF-Emul</t>
  </si>
  <si>
    <t>MF-I/55</t>
  </si>
  <si>
    <t>Non-anionic polyacrylamide; Shale Control Inhibitors</t>
  </si>
  <si>
    <t>MF-Oilwet</t>
  </si>
  <si>
    <t>Oil Wetting agent; emulsifier; Surface Active Agents</t>
  </si>
  <si>
    <t>MF-Rigmate</t>
  </si>
  <si>
    <t>Rig component protector; corrosion inhibitor</t>
  </si>
  <si>
    <t>MF-Vis</t>
  </si>
  <si>
    <t>M-I Bar</t>
  </si>
  <si>
    <t>M-I Cedar Fiber</t>
  </si>
  <si>
    <t>Shredded cedar fiber; Lost Circulation Material</t>
  </si>
  <si>
    <t>M-I Gel</t>
  </si>
  <si>
    <t>M-I Gel Supreme</t>
  </si>
  <si>
    <t>M-I Lube 100</t>
  </si>
  <si>
    <t>General purpose lubricant; Lubricants</t>
  </si>
  <si>
    <t>sold in drums (55 gal / 208 L)</t>
  </si>
  <si>
    <t>M-I Seal</t>
  </si>
  <si>
    <t>LCM for fractured or vugular formations; Lost Circulation Material</t>
  </si>
  <si>
    <t>MI-Bar</t>
  </si>
  <si>
    <t>Barite; weighting material</t>
  </si>
  <si>
    <t>Mica</t>
  </si>
  <si>
    <t>Sized mica flakes; Lost Circulation Material</t>
  </si>
  <si>
    <t>Micatex</t>
  </si>
  <si>
    <t>Mica flakes; Lost Circulation Material</t>
  </si>
  <si>
    <t>Micronaire</t>
  </si>
  <si>
    <t>Enhanced foam/low density fluid; Systems</t>
  </si>
  <si>
    <t>Mil-Bar</t>
  </si>
  <si>
    <t>Mil-Carb</t>
  </si>
  <si>
    <t>Sized ground carbonates; Lost Circulation Material</t>
  </si>
  <si>
    <t>MIL-Carb TM</t>
  </si>
  <si>
    <t>Sized ground carbonates; lost circulation material</t>
  </si>
  <si>
    <t>Mil-Cardb Series</t>
  </si>
  <si>
    <t>Multiple grind size series of ground carbonate; Lost Circulation Material</t>
  </si>
  <si>
    <t>Mil-Clean</t>
  </si>
  <si>
    <t>water soluble, biodegradable detergent/rigwash; Surface Active Agents</t>
  </si>
  <si>
    <t>Milex</t>
  </si>
  <si>
    <t>Co-polymer; Flocculants</t>
  </si>
  <si>
    <t>Mil-Free</t>
  </si>
  <si>
    <t>Vegetable oil based spotting fluid; Lubricants</t>
  </si>
  <si>
    <t>Mil-Gard</t>
  </si>
  <si>
    <t>Mil-Gard R</t>
  </si>
  <si>
    <t>Chelated zinc lignosulfonate; corrosion inhibitor</t>
  </si>
  <si>
    <t>Milgel</t>
  </si>
  <si>
    <t>Milgel NT</t>
  </si>
  <si>
    <t>Millennium Floc</t>
  </si>
  <si>
    <t>Dispersible polymer flocculant; Flocculants</t>
  </si>
  <si>
    <t>Mil-Lube</t>
  </si>
  <si>
    <t>Vegetable oil lubricant; Lubricants</t>
  </si>
  <si>
    <t>Mil-Mica</t>
  </si>
  <si>
    <t>Non-abrasicve mica flakes; Lost Circulation Material</t>
  </si>
  <si>
    <t>Mil-Pac</t>
  </si>
  <si>
    <t>Mil-Pac LV</t>
  </si>
  <si>
    <t>Low viscosity polyanionic cellulose; Filtrate Reducers</t>
  </si>
  <si>
    <t>Mil-Plug</t>
  </si>
  <si>
    <t>Ground nutshells; Lost Circulation Material</t>
  </si>
  <si>
    <t>Mil-Seal</t>
  </si>
  <si>
    <t>Blended LCM available in three grind sizes; Lost Circulation Material</t>
  </si>
  <si>
    <t>Mil-SOS</t>
  </si>
  <si>
    <t>Hydrolized polyacrylamide; Shale Control Inhibitors; Flocculants</t>
  </si>
  <si>
    <t>Mil-Starch</t>
  </si>
  <si>
    <t>Mil-Temp</t>
  </si>
  <si>
    <t>Sulfonated styrene, maleic anhydride co-polymer for water based muds; Thinners, Dispersants</t>
  </si>
  <si>
    <t>Mintrol</t>
  </si>
  <si>
    <t>Pure oil fluid loss control; Filtrate Reducers</t>
  </si>
  <si>
    <t>MIX 2</t>
  </si>
  <si>
    <t>Blend calcium carbonate and polymers; Lost Circulation Material</t>
  </si>
  <si>
    <t>Mix II</t>
  </si>
  <si>
    <t>Blended calcium carbonate &amp; polymers; Lost Circulation Material</t>
  </si>
  <si>
    <t>M-I-X II</t>
  </si>
  <si>
    <t>Ground cellulose LCM &amp; plugging agent; Lost Circulation Material</t>
  </si>
  <si>
    <t>Mon Pac</t>
  </si>
  <si>
    <t>Premium polyanionic cellulose; Filtrate Reducers</t>
  </si>
  <si>
    <t>Mon Pac Ultralo</t>
  </si>
  <si>
    <t>MRQ 2100PS</t>
  </si>
  <si>
    <t>Potassium Silicate based mud; Systems</t>
  </si>
  <si>
    <t>MTL Bio-Clear 2000</t>
  </si>
  <si>
    <t>DBNPA; bactericides</t>
  </si>
  <si>
    <t>MTL Foambreak</t>
  </si>
  <si>
    <t>Defoamer for foam systems; defoamer</t>
  </si>
  <si>
    <t>MTL Power Clean 2000</t>
  </si>
  <si>
    <t>Alkaline/citric degreaser; Surface Active Agents</t>
  </si>
  <si>
    <t>MTL Shurshale</t>
  </si>
  <si>
    <t>Methanamimium; Shale Control Inhibitors</t>
  </si>
  <si>
    <t>MTL Ultra Prostix</t>
  </si>
  <si>
    <t>Soap surfactant stick; Surface Active Agents</t>
  </si>
  <si>
    <t>MTL Ultrafoam</t>
  </si>
  <si>
    <t>Foaming agent; Foaming Agents</t>
  </si>
  <si>
    <t>MTL Ultramine 681</t>
  </si>
  <si>
    <t>MTL Ultrascav 5000</t>
  </si>
  <si>
    <t>H2S scavenger &amp; corrosion inhibitor; corrosion inhibitor</t>
  </si>
  <si>
    <t>Mud Floc</t>
  </si>
  <si>
    <t>HMW anionic flocculant; Flocculants</t>
  </si>
  <si>
    <t>Mud Floc II D</t>
  </si>
  <si>
    <t>Dispersible selective flocculant; Flocculants</t>
  </si>
  <si>
    <t>Mud Lite</t>
  </si>
  <si>
    <t>Enhanced foam surfactant; Surface Active Agents</t>
  </si>
  <si>
    <t>Mud-Pac</t>
  </si>
  <si>
    <t>Corrosion inhibitor for solids laden packer fluids; corrosion inhibitor</t>
  </si>
  <si>
    <t>Mul Sperse</t>
  </si>
  <si>
    <t>wetting agent/emulsifier; emulsifier</t>
  </si>
  <si>
    <t>Mulsperse</t>
  </si>
  <si>
    <t>MULTI/MAXI SEAL</t>
  </si>
  <si>
    <t>Lost circulation material</t>
  </si>
  <si>
    <t>Natural Gel</t>
  </si>
  <si>
    <t>N-Dril HT Plus</t>
  </si>
  <si>
    <t>Stabilized non-ionic starch; Filtrate Reducers</t>
  </si>
  <si>
    <t>N-DRILL HT</t>
  </si>
  <si>
    <t>Filtration Control</t>
  </si>
  <si>
    <t>New 100 Invert</t>
  </si>
  <si>
    <t>Salt-free invert; Systems</t>
  </si>
  <si>
    <t>New Thin</t>
  </si>
  <si>
    <t>Liquid polyacrylate; Thinners, Dispersants</t>
  </si>
  <si>
    <t>New-Drill</t>
  </si>
  <si>
    <t>Liquid PHPA; Shale Control Inhibitors</t>
  </si>
  <si>
    <t>New-Drill Plus</t>
  </si>
  <si>
    <t>PHPA; Shale Control Inhibitors</t>
  </si>
  <si>
    <t>Newfoam</t>
  </si>
  <si>
    <t>Surfactant blend; Foaming Agents</t>
  </si>
  <si>
    <t>Newfoam Breaker</t>
  </si>
  <si>
    <t>Newgel</t>
  </si>
  <si>
    <t>Newlig</t>
  </si>
  <si>
    <t>Newphpa LV</t>
  </si>
  <si>
    <t>LMW  dispersible PHPA; Shale Control Inhibitors</t>
  </si>
  <si>
    <t>New-Trol</t>
  </si>
  <si>
    <t>New-Vis</t>
  </si>
  <si>
    <t>Organic polymer blend; Viscosifiers</t>
  </si>
  <si>
    <t>Newxan</t>
  </si>
  <si>
    <t>N-Flow A</t>
  </si>
  <si>
    <t>In-situ acid breaker system; Polymer Breakers</t>
  </si>
  <si>
    <t>N-Flow AE</t>
  </si>
  <si>
    <t>In-situ acid/enzymatic breaker system; Polymer Breakers</t>
  </si>
  <si>
    <t>N-Flow AO</t>
  </si>
  <si>
    <t>In-situ acid/oxidizing  breaker system; Polymer Breakers</t>
  </si>
  <si>
    <t>No-Stik</t>
  </si>
  <si>
    <t>Blend surface agents; Surface Active Agents</t>
  </si>
  <si>
    <t>Novamod</t>
  </si>
  <si>
    <t>Rheology modifier; Viscosifiers</t>
  </si>
  <si>
    <t>Novamul</t>
  </si>
  <si>
    <t>Primary emulsifier for synthetic inverts; emulsifier</t>
  </si>
  <si>
    <t>Novaplus</t>
  </si>
  <si>
    <t>Low-viscosity IO synthetic based mud; Systems</t>
  </si>
  <si>
    <t>Novapro</t>
  </si>
  <si>
    <t>Olefin-base synthetic mud; Systems</t>
  </si>
  <si>
    <t>Novatec</t>
  </si>
  <si>
    <t>LAO base synthetic mud; Systems</t>
  </si>
  <si>
    <t>Novatec B</t>
  </si>
  <si>
    <t>LAO base fluid; Drill Mud Base Fluids</t>
  </si>
  <si>
    <t>Novatec M</t>
  </si>
  <si>
    <t>Low-end rheology modifier; Viscosifiers</t>
  </si>
  <si>
    <t>Novatec P</t>
  </si>
  <si>
    <t>Primary emulsifier for Novatec system; emulsifier</t>
  </si>
  <si>
    <t>Novathin</t>
  </si>
  <si>
    <t>Thinner for synthetic invert emulsions; Thinners, Dispersants</t>
  </si>
  <si>
    <t>Novawet</t>
  </si>
  <si>
    <t>Wetting agent; Surface Active Agents</t>
  </si>
  <si>
    <t>N-Plex</t>
  </si>
  <si>
    <t>Liquid alkaline salt; Lost Circulation Material</t>
  </si>
  <si>
    <t>N-Seal</t>
  </si>
  <si>
    <t>Specially formulated extrusion material; Lost Circulation Material</t>
  </si>
  <si>
    <t>N-Squeeze</t>
  </si>
  <si>
    <t>Sized cellulose fibers in a non-damaging polymer base; Lost Circulation Material</t>
  </si>
  <si>
    <t>Nut Plug</t>
  </si>
  <si>
    <t>Nut Shell</t>
  </si>
  <si>
    <t>N-Vis P Plus</t>
  </si>
  <si>
    <t>Xanthan/non-ionic starch ehter blend; Viscosifiers</t>
  </si>
  <si>
    <t>O S S Pill</t>
  </si>
  <si>
    <t>Oil soluble resin polymer system; Lost Circulation Material</t>
  </si>
  <si>
    <t>Oilfaze</t>
  </si>
  <si>
    <t>sacked oil base concentrate; emulsifier</t>
  </si>
  <si>
    <t>Oilgel-3000</t>
  </si>
  <si>
    <t>Oilsperse</t>
  </si>
  <si>
    <t>Organic emulsifier; emulsifier</t>
  </si>
  <si>
    <t>OMC</t>
  </si>
  <si>
    <t>Degelant for organophilic clays; Thinners, Dispersants</t>
  </si>
  <si>
    <t>Omni-Plex</t>
  </si>
  <si>
    <t>High performance,anionic,synthetic OBM viscosifier; Viscosifiers</t>
  </si>
  <si>
    <t>OMV-100</t>
  </si>
  <si>
    <t>Organophilic clay; Viscosifiers</t>
  </si>
  <si>
    <t>Optimul</t>
  </si>
  <si>
    <t>Optiplus</t>
  </si>
  <si>
    <t>Optiwet</t>
  </si>
  <si>
    <t>Oil mud wetting agent; emulsifier</t>
  </si>
  <si>
    <t>Organolig</t>
  </si>
  <si>
    <t>Organophillic lignite for OB and Synthetic Muds; Filtrate Reducers</t>
  </si>
  <si>
    <t>OSR Defoamer</t>
  </si>
  <si>
    <t>Oil Ssoluble resin strong defoamer; defoamer</t>
  </si>
  <si>
    <t>Oxygen Scavenger (OS-IL)</t>
  </si>
  <si>
    <t>Catalyzed ammonium bisulfate; corrosion inhibitor</t>
  </si>
  <si>
    <t>Pac-L</t>
  </si>
  <si>
    <t>Pac-R</t>
  </si>
  <si>
    <t>Palcotan</t>
  </si>
  <si>
    <t>Thinner</t>
  </si>
  <si>
    <t>Paramul</t>
  </si>
  <si>
    <t>Emulsifier for Paraland system; emulsifier</t>
  </si>
  <si>
    <t>Parawet</t>
  </si>
  <si>
    <t>Peltex</t>
  </si>
  <si>
    <t>Ferrochrome lignosulfonate; Thinners, Dispersants</t>
  </si>
  <si>
    <t>Pelthinz</t>
  </si>
  <si>
    <t>Chrome lignosulfonate; Thinners, Dispersants</t>
  </si>
  <si>
    <t>Pelthinz CF</t>
  </si>
  <si>
    <t>Chrome-free lignosulfonate; Thinners, Dispersants</t>
  </si>
  <si>
    <t>Penetrex</t>
  </si>
  <si>
    <t>PERCOL</t>
  </si>
  <si>
    <t>Quaternary acrylate salt; cationic polymer</t>
  </si>
  <si>
    <t>Percol 919</t>
  </si>
  <si>
    <t>Anionic Polyacrylamide(PHPA); Flocculants</t>
  </si>
  <si>
    <t>Performadril</t>
  </si>
  <si>
    <t>Highly inhibitive clay-free WBM; Systems</t>
  </si>
  <si>
    <t>Performax</t>
  </si>
  <si>
    <t>High performance inhibitive WBM; Systems</t>
  </si>
  <si>
    <t>Perma-Lose HT</t>
  </si>
  <si>
    <t>Non-fermenting polymerized starch; Filtrate Reducers</t>
  </si>
  <si>
    <t>Perma-thinz</t>
  </si>
  <si>
    <t>PETRO-LIG</t>
  </si>
  <si>
    <t>Filtrate control additive for invert emulsions; Fluid Base Oil</t>
  </si>
  <si>
    <t>PH-10</t>
  </si>
  <si>
    <t>Buffer system magnesium oxide; alkalinity pH control</t>
  </si>
  <si>
    <t>Phenoseal</t>
  </si>
  <si>
    <t>Thermoset Laminate; Lost Circulation Material</t>
  </si>
  <si>
    <t>Pine Seal</t>
  </si>
  <si>
    <t>Fibrous flake and granular LCM; Lost Circulation Material</t>
  </si>
  <si>
    <t>Pipe Free Agent</t>
  </si>
  <si>
    <t>Spotting agent; Lubricants; Lost Circulation Material</t>
  </si>
  <si>
    <t>Pipe Lax</t>
  </si>
  <si>
    <t>Stuck pipe surfactant; Surface Active Agents</t>
  </si>
  <si>
    <t>hydrocarbon based, used in diesel or oil based muds</t>
  </si>
  <si>
    <t>Pipe Out</t>
  </si>
  <si>
    <t>Spotting agent; Surface Active Agents</t>
  </si>
  <si>
    <t>Pipelax W</t>
  </si>
  <si>
    <t>Anionic surface active agent; Lubricants</t>
  </si>
  <si>
    <t>Plaster</t>
  </si>
  <si>
    <t xml:space="preserve">Starch system (1957) Gypsum/Calcium Source; </t>
  </si>
  <si>
    <t>Complete Salt calculations</t>
  </si>
  <si>
    <t>Plug-Git</t>
  </si>
  <si>
    <t>Processed cedar fiber; Lost Circulation Material</t>
  </si>
  <si>
    <t>Plugsal</t>
  </si>
  <si>
    <t>Sized salt water-soluble bridging; Lost Circulation Material</t>
  </si>
  <si>
    <t>Plus-5</t>
  </si>
  <si>
    <t>Hematite - iron oxide; Weighting Materials</t>
  </si>
  <si>
    <t>Polidril</t>
  </si>
  <si>
    <t>Polymer blend; Viscosifiers</t>
  </si>
  <si>
    <t>Poliheal</t>
  </si>
  <si>
    <t>Polymer blend; Filtrate Reducers</t>
  </si>
  <si>
    <t>Poly block</t>
  </si>
  <si>
    <t>Blended LCM for vugular &amp; cavernous formations; Lost Circulation Material</t>
  </si>
  <si>
    <t>Poly Flake</t>
  </si>
  <si>
    <t>Polyethylene/polycellulose flakes; Lost Circulation Material</t>
  </si>
  <si>
    <t>Poly Plastic</t>
  </si>
  <si>
    <t>Proprietary liquid blend of sodium polyacrylate, lignosulfonate, lignite; Bentonite extender</t>
  </si>
  <si>
    <t>Poly Plug Clear Gel</t>
  </si>
  <si>
    <t>Blended lost circulation plug; Lost Circulation Material</t>
  </si>
  <si>
    <t>Poly Seal</t>
  </si>
  <si>
    <t>Polyac</t>
  </si>
  <si>
    <t>Broad range filtrate reducer; Filtrate Reducers</t>
  </si>
  <si>
    <t>Polydrill</t>
  </si>
  <si>
    <t>100% synthetic fluidloss additive; Filtrate Reducers</t>
  </si>
  <si>
    <t>Polyloss</t>
  </si>
  <si>
    <t>Derivatized starch blend; Filtrate Reducers</t>
  </si>
  <si>
    <t>Polypac (reg, UL)</t>
  </si>
  <si>
    <t>Polypac R</t>
  </si>
  <si>
    <t>Polypac UL</t>
  </si>
  <si>
    <t>Ultra low viscosity pac; Filtrate Reducers</t>
  </si>
  <si>
    <t>Polypit</t>
  </si>
  <si>
    <t>Flocculants</t>
  </si>
  <si>
    <t>Polyplus</t>
  </si>
  <si>
    <t>HMW anionic polyacrylamide; Flocculants</t>
  </si>
  <si>
    <t>Polyplus RD</t>
  </si>
  <si>
    <t>Hydrolized polyacrylamide; Shale Control Inhibitors</t>
  </si>
  <si>
    <t>Polysec</t>
  </si>
  <si>
    <t>Sodium polyacrylate; bentonite extender</t>
  </si>
  <si>
    <t>Polysec KD</t>
  </si>
  <si>
    <t>Sodium Polyacrylate; Bentonite extender</t>
  </si>
  <si>
    <t>Polystar</t>
  </si>
  <si>
    <t>Anti-accretion system designed for SAGD; Systems</t>
  </si>
  <si>
    <t>Polyswell</t>
  </si>
  <si>
    <t>Anioic acrylamide copolymer</t>
  </si>
  <si>
    <t>Polytex</t>
  </si>
  <si>
    <t>Polymer, sized carbonates; Filtrate Reducers</t>
  </si>
  <si>
    <t>Polythin</t>
  </si>
  <si>
    <t>Powder thinner (extreme conditions); Thinners, Dispersants</t>
  </si>
  <si>
    <t>Poly-Vis II</t>
  </si>
  <si>
    <t>Mixed metal hydroxide; Viscosifiers</t>
  </si>
  <si>
    <t>Poly-Xan</t>
  </si>
  <si>
    <t>Dispersible grade xanthan+B727 gum; Viscosifiers</t>
  </si>
  <si>
    <t>Potash</t>
  </si>
  <si>
    <t>Potassium chloride (KCL); Shale Control Inhibitors</t>
  </si>
  <si>
    <t>Potassium Carbonate</t>
  </si>
  <si>
    <t>Potassium source in inhibitive potassium muds</t>
  </si>
  <si>
    <t>Potassium Chloride</t>
  </si>
  <si>
    <t>Shale stabilizing</t>
  </si>
  <si>
    <t>Potassium Formate</t>
  </si>
  <si>
    <t>KCOOH; Shale Control Inhibitors</t>
  </si>
  <si>
    <t>Complete Salt calculations; Advanced Gel Chem</t>
  </si>
  <si>
    <t>Potassium Soltex</t>
  </si>
  <si>
    <t>Potassium sulfonated ashphalt; Shale Control Inhibitors</t>
  </si>
  <si>
    <t>Potential salt concern; Advanced Gel Chem</t>
  </si>
  <si>
    <t>Potassium Sulphate</t>
  </si>
  <si>
    <t>K2SO4; Shale Control Inhibitors</t>
  </si>
  <si>
    <t>Potassium Hydroxide</t>
  </si>
  <si>
    <t>Shale control Inhibitor</t>
  </si>
  <si>
    <t>Potassium Silicate</t>
  </si>
  <si>
    <t>K2SiO3, MRQ 2100PS, QM-12, Sildril, Ecodrill 317, Ecodrill 246, FilDril K</t>
  </si>
  <si>
    <t>Potassium Nitrate</t>
  </si>
  <si>
    <t>K2SO4, Sulphate of Potash</t>
  </si>
  <si>
    <t>Powerdrill</t>
  </si>
  <si>
    <t>Inhibitive WBM; Systems</t>
  </si>
  <si>
    <t>Preservative</t>
  </si>
  <si>
    <t>Prima Seal C/M</t>
  </si>
  <si>
    <t>Primary Emulsifier</t>
  </si>
  <si>
    <t>Primaseal</t>
  </si>
  <si>
    <t>Blended LCM; lost circulation material</t>
  </si>
  <si>
    <t>Prodrill 2000</t>
  </si>
  <si>
    <t>Anionic Polyacrylamide and distillates; shale control Inhibitor</t>
  </si>
  <si>
    <t>Toxic, PSAC Concentration = 15 L/cu.m; assume 9L pail</t>
  </si>
  <si>
    <t>Prodrill 2100 LV</t>
  </si>
  <si>
    <t>Anionic Polyacrylamide and distillates; Shale control inhibitor</t>
  </si>
  <si>
    <t>Prodrill 2100 P</t>
  </si>
  <si>
    <t>Proex</t>
  </si>
  <si>
    <t>Polyacrylate - PHPA blend; Bentonite extender</t>
  </si>
  <si>
    <t>Pro-Film</t>
  </si>
  <si>
    <t>Corrosion inhibitor</t>
  </si>
  <si>
    <t>Pro-Floc</t>
  </si>
  <si>
    <t>Polyacrylamide; Flocculants</t>
  </si>
  <si>
    <t>Pro-Scale</t>
  </si>
  <si>
    <t>Pro-Scav A</t>
  </si>
  <si>
    <t>Pro-Scav S</t>
  </si>
  <si>
    <t>Protectmagic M</t>
  </si>
  <si>
    <t>Water dispersible ashphalt; Shale Control Inhibitors</t>
  </si>
  <si>
    <t>Protectomagic LT</t>
  </si>
  <si>
    <t>Diesel-base suspension of of clloidal ashphalt; Shale Control Inhibitors</t>
  </si>
  <si>
    <t>PTS-100</t>
  </si>
  <si>
    <t>HT polymer stabilizer; Polymer Stabilizers</t>
  </si>
  <si>
    <t>PTS-200</t>
  </si>
  <si>
    <t>Puredrill HT-30</t>
  </si>
  <si>
    <t>Enhanced mineral oil; Drill Mud Base Fluids</t>
  </si>
  <si>
    <t>Puredrill HT-40</t>
  </si>
  <si>
    <t>Puredrill IA-35</t>
  </si>
  <si>
    <t>Synthetic isoalkane; Drill Mud Base Fluids</t>
  </si>
  <si>
    <t>Puredrill IA-35LV</t>
  </si>
  <si>
    <t>Puredrill OE</t>
  </si>
  <si>
    <t>Synthetic ester blend; Drill Mud Base Fluids</t>
  </si>
  <si>
    <t>Pyro-trol</t>
  </si>
  <si>
    <t>Co-polymer acrylamide AMPS; Filtrate Reducers</t>
  </si>
  <si>
    <t>QB II</t>
  </si>
  <si>
    <t>Chrome lignosulfonate; Filtrate reducer</t>
  </si>
  <si>
    <t>Q-Broxin</t>
  </si>
  <si>
    <t>ferrochrome lignosulfonate, thinner</t>
  </si>
  <si>
    <t>QM-12</t>
  </si>
  <si>
    <t>Q'Mul I</t>
  </si>
  <si>
    <t>Primary emulsifier for mineral oil inverts; emulsifier</t>
  </si>
  <si>
    <t>Q'Mul II</t>
  </si>
  <si>
    <t>Secondary emulsifier for mineral oil inverts; emulsifier</t>
  </si>
  <si>
    <t>Q'Mul Primary</t>
  </si>
  <si>
    <t>Primary emulsifier for SBM's; emulsifier</t>
  </si>
  <si>
    <t>Q'Mul Secondary</t>
  </si>
  <si>
    <t>Secondary emulsifier for SBM's; emulsifier</t>
  </si>
  <si>
    <t>Q'Pac</t>
  </si>
  <si>
    <t>PAC; Filtrate Reducers</t>
  </si>
  <si>
    <t>Q'Stop</t>
  </si>
  <si>
    <t>Q’STOP Fine</t>
  </si>
  <si>
    <t>Sized cellulose fiber; Lost circulation material</t>
  </si>
  <si>
    <t>Quick VIS</t>
  </si>
  <si>
    <t>Hydroxyethyl cellulose; Viscosifiers</t>
  </si>
  <si>
    <t>Quikdril</t>
  </si>
  <si>
    <t>Solids free non damaging coil tubing fluid; Systems</t>
  </si>
  <si>
    <t>Quik-Foam</t>
  </si>
  <si>
    <t>Biodegradable foaming agent; Foaming Agents</t>
  </si>
  <si>
    <t>Quik-Free</t>
  </si>
  <si>
    <t>Quik-Gel</t>
  </si>
  <si>
    <t>High yield bentonite; Viscosifiers</t>
  </si>
  <si>
    <t>Quik-Mud</t>
  </si>
  <si>
    <t>Suspension of concentrated viscosifiers; Viscosifiers</t>
  </si>
  <si>
    <t>Quik-Thin</t>
  </si>
  <si>
    <t>Quik-trol</t>
  </si>
  <si>
    <t>Organic polymer; Shale Control Inhibitors; Viscosifiers</t>
  </si>
  <si>
    <t>Q'Vis L</t>
  </si>
  <si>
    <t>Liquid polymeric viscosifier; Viscosifiers</t>
  </si>
  <si>
    <t>Q'Wet</t>
  </si>
  <si>
    <t>Oil wetting agent; Surface Active Agents</t>
  </si>
  <si>
    <t>Qwikthin CF</t>
  </si>
  <si>
    <t>Modified sulfo-methylated tannin; Thinners, Dispersants</t>
  </si>
  <si>
    <t>R.O.P.E.</t>
  </si>
  <si>
    <t>Protein lubricant; Lubricants</t>
  </si>
  <si>
    <t>Radiagreen EME Salt</t>
  </si>
  <si>
    <t>Rapidrill</t>
  </si>
  <si>
    <t>Water-based gilsonite/lubricant system; Systems</t>
  </si>
  <si>
    <t>Rebound</t>
  </si>
  <si>
    <t>Resilient carbon based LCM; Lost Circulation Material</t>
  </si>
  <si>
    <t>Rebound Fine</t>
  </si>
  <si>
    <t>Reef Floc</t>
  </si>
  <si>
    <t>Poylacrylamide polymer; Flocculants</t>
  </si>
  <si>
    <t>when used, most likely used KCl as shale inhibitor</t>
  </si>
  <si>
    <t>Reef Gel</t>
  </si>
  <si>
    <t>Bentonite (clay); viscosifier</t>
  </si>
  <si>
    <t>Reef Pac</t>
  </si>
  <si>
    <t>Polyanionic Cellulose; Filtration and Fluid loss control</t>
  </si>
  <si>
    <t>Reef Polymer Plus</t>
  </si>
  <si>
    <t>Copolymer of sodium acrylate &amp; acrylamide; Flocculants</t>
  </si>
  <si>
    <t>REEFEX</t>
  </si>
  <si>
    <t>Bentonite extender; viscosifier</t>
  </si>
  <si>
    <t>Resinex</t>
  </si>
  <si>
    <t>Resinated lignin; Filtrate Reducers</t>
  </si>
  <si>
    <t>Resinex II</t>
  </si>
  <si>
    <t>Tech grade resinated lignin; Filtrate Reducers</t>
  </si>
  <si>
    <t>Rhemod L</t>
  </si>
  <si>
    <t>Modified fatty acid; Viscosifiers</t>
  </si>
  <si>
    <t>Rheoflo</t>
  </si>
  <si>
    <t>Blended polymer; Viscosifiers</t>
  </si>
  <si>
    <t>RHODOPOL</t>
  </si>
  <si>
    <t>Polysaccharide polymer; viscosifier</t>
  </si>
  <si>
    <t>Rhodopol 23 P</t>
  </si>
  <si>
    <t>Polysaccharide polymer; Viscosifiers</t>
  </si>
  <si>
    <t>Rhodopol XGD</t>
  </si>
  <si>
    <t>RM 63</t>
  </si>
  <si>
    <t>Blend of fatty acids; Viscosifiers</t>
  </si>
  <si>
    <t>RM63</t>
  </si>
  <si>
    <t>Rheology modifier</t>
  </si>
  <si>
    <t>Rubber Crumb</t>
  </si>
  <si>
    <t>Ground Rubber; Lost Circulation Material</t>
  </si>
  <si>
    <t>Safe Solv OM</t>
  </si>
  <si>
    <t>Blend of surfactants and solvents; Surface Active Agents</t>
  </si>
  <si>
    <t>Safe Surfo</t>
  </si>
  <si>
    <t>Blend of solvents and surfactants; Surface Active Agents</t>
  </si>
  <si>
    <t>Safe-Carb</t>
  </si>
  <si>
    <t>Sized calcium carbonate; Weighting Materials</t>
  </si>
  <si>
    <t>Safe-T-Coat</t>
  </si>
  <si>
    <t>Amine inhibitor; corrosion inhibitor</t>
  </si>
  <si>
    <t>Saf-Kote</t>
  </si>
  <si>
    <t>Amine type inhibitor; corrosion inhibitor</t>
  </si>
  <si>
    <t>Salt</t>
  </si>
  <si>
    <t>NaCl; Weighting Materials</t>
  </si>
  <si>
    <t>Salt Gel</t>
  </si>
  <si>
    <t>Processed sepiolite; Viscosifiers</t>
  </si>
  <si>
    <t>Salt Water Gel</t>
  </si>
  <si>
    <t>Sanheal Pill</t>
  </si>
  <si>
    <t>Calcium carbonate polymer system; Lost Circulation Material</t>
  </si>
  <si>
    <t>SAPP</t>
  </si>
  <si>
    <t>Sodium acid pyrophosphate; Thinners, Dispersants</t>
  </si>
  <si>
    <t>Sawdust</t>
  </si>
  <si>
    <t>Sawdust; Lost Circulation Material</t>
  </si>
  <si>
    <t>SCW0535</t>
  </si>
  <si>
    <t>Liquid scale prevention; corrosion inhibitor</t>
  </si>
  <si>
    <t>Seal-N-Peel</t>
  </si>
  <si>
    <t>Fluid loss control pill; Systems</t>
  </si>
  <si>
    <t>Secondary Emulsifier</t>
  </si>
  <si>
    <t>Seperan</t>
  </si>
  <si>
    <t>Polyacrylamide (Gel-Chem mud system); Flocculants</t>
  </si>
  <si>
    <t>Ser-Vis</t>
  </si>
  <si>
    <t>Shale Bond</t>
  </si>
  <si>
    <t>Water dispersible uintaite-gilsonite; Shale Control Inhibitors</t>
  </si>
  <si>
    <t>Shaledril</t>
  </si>
  <si>
    <t>Water-based system specifically for shale gas zone; inhibiting fluid</t>
  </si>
  <si>
    <t>Sheardril-N</t>
  </si>
  <si>
    <t>Solids free modified polymer fluid system; Systems</t>
  </si>
  <si>
    <t>Sildril</t>
  </si>
  <si>
    <t>Potassium silicate inhibitive drilling fluid; Systems</t>
  </si>
  <si>
    <t>Simple Seal</t>
  </si>
  <si>
    <t>Slugheal</t>
  </si>
  <si>
    <t>Calcium carbonate base workover system; Filtrate Reducers</t>
  </si>
  <si>
    <t>Smart plug</t>
  </si>
  <si>
    <t>SN-1890</t>
  </si>
  <si>
    <t>Synthetic base oil used in Synterra system; Drill Mud Base Fluids</t>
  </si>
  <si>
    <t>not hydrocarbons</t>
  </si>
  <si>
    <t>Soda Ash</t>
  </si>
  <si>
    <t>Sodium Carbonate; calcium remover</t>
  </si>
  <si>
    <t>Sodium Chromate</t>
  </si>
  <si>
    <t>Na2CrO4 H2O; corrosion inhibitor</t>
  </si>
  <si>
    <t>Sodium Formate</t>
  </si>
  <si>
    <t>Sodium Sulfite</t>
  </si>
  <si>
    <t>Sodium Sulphate</t>
  </si>
  <si>
    <t>Sodium Sulphite</t>
  </si>
  <si>
    <t>Soltex</t>
  </si>
  <si>
    <t>Sodium ashphalt sulphonate; Shale Control Inhibitors</t>
  </si>
  <si>
    <t>Solubridge</t>
  </si>
  <si>
    <t>Sized oil-soluble resins; Lost Circulation Material</t>
  </si>
  <si>
    <t>Soludril-N</t>
  </si>
  <si>
    <t>Sized salt polymer system; Systems</t>
  </si>
  <si>
    <t>Soluflake</t>
  </si>
  <si>
    <t>Flaked calcium carbonate; Lost Circulation Material</t>
  </si>
  <si>
    <t>Solukleen</t>
  </si>
  <si>
    <t>Oil soluble resin base workover fluid; Filtrate Reducers</t>
  </si>
  <si>
    <t>Solu-Squeez</t>
  </si>
  <si>
    <t>Acid-soluble high fluid loss LCM squeeze; Lost Circulation Material</t>
  </si>
  <si>
    <t>Soluvis</t>
  </si>
  <si>
    <t>Polymer &amp; sized resins; Viscosifiers</t>
  </si>
  <si>
    <t>Sooner Seal</t>
  </si>
  <si>
    <t>Polyester flake; Lost Circulation Material</t>
  </si>
  <si>
    <t>Spartan</t>
  </si>
  <si>
    <t>Barite/Baroid; Weighting Agent</t>
  </si>
  <si>
    <t>Spersene</t>
  </si>
  <si>
    <t>Spersene CF</t>
  </si>
  <si>
    <t>Stable K</t>
  </si>
  <si>
    <t>Staflo Ex-Lo Supreme</t>
  </si>
  <si>
    <t>Low viscosity PAC; Filtrate Reducers</t>
  </si>
  <si>
    <t>Staflo Reg</t>
  </si>
  <si>
    <t>Polyanionic cellulose; filtrate reducer</t>
  </si>
  <si>
    <t>Staflo Regular</t>
  </si>
  <si>
    <t>Starch</t>
  </si>
  <si>
    <t>Carbohydrates from corn, wheat, oats, rice, potatoes, or yucca; viscosity controller</t>
  </si>
  <si>
    <t>Standrill</t>
  </si>
  <si>
    <t>Tri-methyl Ammonium Chloride; Shale Inhibitor</t>
  </si>
  <si>
    <t>Stardril</t>
  </si>
  <si>
    <t>Filtration control LWD; Filtrate Reducers</t>
  </si>
  <si>
    <t>Starlose</t>
  </si>
  <si>
    <t>Modified starch with biocide; Filtrate Reducers</t>
  </si>
  <si>
    <t>Starpak</t>
  </si>
  <si>
    <t>Non-fermenting starch; filtrate reducer</t>
  </si>
  <si>
    <t>Starpak DP</t>
  </si>
  <si>
    <t>Non-fermenting derivatized starch; Filtrate Reducers</t>
  </si>
  <si>
    <t>Steelseal</t>
  </si>
  <si>
    <t>Dual composition carbon material; Lost Circulation Material</t>
  </si>
  <si>
    <t>Stop-Frac</t>
  </si>
  <si>
    <t>SUFE-COAT</t>
  </si>
  <si>
    <t>Oil wetting agent; emulisifier</t>
  </si>
  <si>
    <t>Sulfamic Acid</t>
  </si>
  <si>
    <t>Amidosulfonic acid; alkalinity and pH control</t>
  </si>
  <si>
    <t>Sulfatrol</t>
  </si>
  <si>
    <t>Sulfonated ashphalt; Shale Control Inhibitors</t>
  </si>
  <si>
    <t>Sun CG</t>
  </si>
  <si>
    <t>Coupled gilsonite-based dispersion; Shale Control Inhibitors</t>
  </si>
  <si>
    <t>Super Floc</t>
  </si>
  <si>
    <t>Organic Polymer; Flocculants</t>
  </si>
  <si>
    <t>Super Sweep</t>
  </si>
  <si>
    <t>Treated polypropolene fibre; Viscosifiers</t>
  </si>
  <si>
    <t>Super-Col</t>
  </si>
  <si>
    <t>Extra high yield bentonite; Viscosifiers</t>
  </si>
  <si>
    <t>Superlig</t>
  </si>
  <si>
    <t>Superwet 250</t>
  </si>
  <si>
    <t>Non-ionic water wetting agent; Surface Active Agents</t>
  </si>
  <si>
    <t>Surf-Cote/Omni-Cote</t>
  </si>
  <si>
    <t>Oil wetting agent; emulsifier</t>
  </si>
  <si>
    <t>Suspentone</t>
  </si>
  <si>
    <t>Sweep-Wate</t>
  </si>
  <si>
    <t>Selectively sized barite for high density sweeps; Weighting Materials</t>
  </si>
  <si>
    <t>Synerchem CS-50</t>
  </si>
  <si>
    <t>Chloride free amine inhibitor; Shale Control Inhibitors</t>
  </si>
  <si>
    <t>Synerdrill FR-1</t>
  </si>
  <si>
    <t>Acrylamide AMPS co-polymer; Filtrate Reducers</t>
  </si>
  <si>
    <t>Synerdrill FR-2</t>
  </si>
  <si>
    <t>Sulfonated pam; Filtrate Reducers</t>
  </si>
  <si>
    <t>Synerfloc D-40</t>
  </si>
  <si>
    <t>Poly DADMAC; Flocculants</t>
  </si>
  <si>
    <t>Synerfloc D71181</t>
  </si>
  <si>
    <t>Cationic Co-polymer; Flocculants</t>
  </si>
  <si>
    <t>Synerfloc PA-50</t>
  </si>
  <si>
    <t>Polyamine; Flocculants</t>
  </si>
  <si>
    <t>Synerflow</t>
  </si>
  <si>
    <t>Xanthan,guar,guar blends; Viscosifiers</t>
  </si>
  <si>
    <t>Synerflow S</t>
  </si>
  <si>
    <t>Sceroglucan; Viscosifiers</t>
  </si>
  <si>
    <t>Synerfoam</t>
  </si>
  <si>
    <t>Synerhib KF</t>
  </si>
  <si>
    <t>Synerplex</t>
  </si>
  <si>
    <t>MMH; Viscosifiers</t>
  </si>
  <si>
    <t>Synersperse</t>
  </si>
  <si>
    <t>Liquid/dry LMW polymers; Thinners, Dispersants</t>
  </si>
  <si>
    <t>Synersperse 35-50</t>
  </si>
  <si>
    <t>Liquid thinner polyacrylate; Thinners, Dispersants</t>
  </si>
  <si>
    <t>Synerthin EX</t>
  </si>
  <si>
    <t>Power thinner polyacrylate; Thinners, Dispersants</t>
  </si>
  <si>
    <t>Synervis</t>
  </si>
  <si>
    <t>Guar gum; Viscosifiers</t>
  </si>
  <si>
    <t>Synervis L</t>
  </si>
  <si>
    <t>Guar gum liquid; Viscosifiers</t>
  </si>
  <si>
    <t>Synerxan</t>
  </si>
  <si>
    <t>Synerxan D</t>
  </si>
  <si>
    <t>Dispersible xanthan gum; Viscosifiers</t>
  </si>
  <si>
    <t>Synerxan L</t>
  </si>
  <si>
    <t>Xanthan liquid; Viscosifiers</t>
  </si>
  <si>
    <t>Synterra</t>
  </si>
  <si>
    <t>Low viscosity synthetic olefin isomer drilling fluid; Systems</t>
  </si>
  <si>
    <t>T-352</t>
  </si>
  <si>
    <t>Tannathin</t>
  </si>
  <si>
    <t>Lignite; reduces fluid loss</t>
  </si>
  <si>
    <t>Tannix/Tannex</t>
  </si>
  <si>
    <t>Tar-Clean</t>
  </si>
  <si>
    <t>Anti-accretion for bitumen; Surface Active Agents</t>
  </si>
  <si>
    <t>TDL-13</t>
  </si>
  <si>
    <t>Liquid TEQ detergent – Water soluable biodegradable detergent; Surfactant</t>
  </si>
  <si>
    <t>Temperus</t>
  </si>
  <si>
    <t>Suspension agent for oil based and synthetic muds; Viscosifiers</t>
  </si>
  <si>
    <t>Teq Detergent 20L</t>
  </si>
  <si>
    <t>Water-soluble, biodegradable detergent/rigwash; Surface Active Agents</t>
  </si>
  <si>
    <t>Teq Floc RD</t>
  </si>
  <si>
    <t>High mol. Wt. Anionic dispersible PHPA; Flocculants</t>
  </si>
  <si>
    <t>Teq-Thin</t>
  </si>
  <si>
    <t>Therma Check</t>
  </si>
  <si>
    <t>Extreme HT filtrate reducer; Filtrate Reducers</t>
  </si>
  <si>
    <t>Therma Vis</t>
  </si>
  <si>
    <t>Extreme high bentonite extender; Viscosifiers</t>
  </si>
  <si>
    <t>Thermapac U.L.</t>
  </si>
  <si>
    <t>Therma-Thin</t>
  </si>
  <si>
    <t>Extreme high-temp reducer/dispersant; Thinners, Dispersants</t>
  </si>
  <si>
    <t>Thermosafe</t>
  </si>
  <si>
    <t>High temperature stabilizer; Polymer Stabilizers</t>
  </si>
  <si>
    <t>Thikquik</t>
  </si>
  <si>
    <t>No fish-eye stabilzed HEC; Viscosifiers</t>
  </si>
  <si>
    <t>Thikquik-L</t>
  </si>
  <si>
    <t>Liquid dispersed HEC; Viscosifiers</t>
  </si>
  <si>
    <t>Thin-Tex</t>
  </si>
  <si>
    <t>Modified lignosulphonate; Thinners, Dispersants</t>
  </si>
  <si>
    <t>Thinzit</t>
  </si>
  <si>
    <t>Oil mud dispersant; Thinners, Dispersants</t>
  </si>
  <si>
    <t>Thix</t>
  </si>
  <si>
    <t>Thix-Pak</t>
  </si>
  <si>
    <t>Stabilized thixotropic polymers; Viscosifiers</t>
  </si>
  <si>
    <t>Thixsal</t>
  </si>
  <si>
    <t>Polymer blend for suspending microsized salt; Viscosifiers</t>
  </si>
  <si>
    <t>Torkease</t>
  </si>
  <si>
    <t>Non-toxic lubricating agent; Lubricants</t>
  </si>
  <si>
    <t>Torq 2000</t>
  </si>
  <si>
    <t>Non-foaming vegetable oil- based lubricant; Lubricants</t>
  </si>
  <si>
    <t>Torq Reducer</t>
  </si>
  <si>
    <t>Torq-Glide</t>
  </si>
  <si>
    <t>Non-foaming esther based lubricant; Lubricants</t>
  </si>
  <si>
    <t>Torq-Lube</t>
  </si>
  <si>
    <t>Liquid Glycol-base; Lubricants</t>
  </si>
  <si>
    <t>Torq-Trim II</t>
  </si>
  <si>
    <t>Alcohol Amide; Lubricants</t>
  </si>
  <si>
    <t>Torq-Trol II</t>
  </si>
  <si>
    <t>Sulfonated vegetable oil; Lubricants</t>
  </si>
  <si>
    <t>Torque-less</t>
  </si>
  <si>
    <t>Friction reducing glass beads; Lubricants</t>
  </si>
  <si>
    <t>TR60</t>
  </si>
  <si>
    <t>Transfoam</t>
  </si>
  <si>
    <t>pH controlled foam system; Systems</t>
  </si>
  <si>
    <t>Trimulso</t>
  </si>
  <si>
    <t>Oil in water emulsifier; Surface Active Agents</t>
  </si>
  <si>
    <t>Trudril</t>
  </si>
  <si>
    <t>All oil OBM; Systems</t>
  </si>
  <si>
    <t>Truvis</t>
  </si>
  <si>
    <t>Rapid yield organophilic clay; Viscosifiers</t>
  </si>
  <si>
    <t>used with oil base systems</t>
  </si>
  <si>
    <t>TS301</t>
  </si>
  <si>
    <t>Lignosulfonate complex; Filtrate Reducers</t>
  </si>
  <si>
    <t>Turbolink</t>
  </si>
  <si>
    <t>Liquid polymer mud system; Systems</t>
  </si>
  <si>
    <t>Turbovis</t>
  </si>
  <si>
    <t>Liquid polysaccharide polymer; Viscosifiers</t>
  </si>
  <si>
    <t>Tylose</t>
  </si>
  <si>
    <t>Hydroxyethel Cellulose; Viscosifiers</t>
  </si>
  <si>
    <t>Ultra Seal</t>
  </si>
  <si>
    <t>Ground cellulose; lost circulation material</t>
  </si>
  <si>
    <t>Ultra Seal C</t>
  </si>
  <si>
    <t>Coarse ground cellulose; Lost Circulation Material</t>
  </si>
  <si>
    <t>Ultra Seal Plus</t>
  </si>
  <si>
    <t>Medium ground cellulose; Lost Circulation Material</t>
  </si>
  <si>
    <t>Ultra Seal XP</t>
  </si>
  <si>
    <t>Fine ground cellulose; Lost Circulation Material</t>
  </si>
  <si>
    <t>Ultrabreak M</t>
  </si>
  <si>
    <t>Internal breaker for filter cake; Polymer Breakers</t>
  </si>
  <si>
    <t>Ultracap</t>
  </si>
  <si>
    <t>Ultradrill</t>
  </si>
  <si>
    <t>Ultraglide Beads</t>
  </si>
  <si>
    <t>Divinyl benzene styrene co-polymer; Lubricants</t>
  </si>
  <si>
    <t>Ultraglide XLT</t>
  </si>
  <si>
    <t>Non-foaming liquid; Lubricants</t>
  </si>
  <si>
    <t>Ultrahib</t>
  </si>
  <si>
    <t>Shale Inhibitor; Shale Control Inhibitors</t>
  </si>
  <si>
    <t>Unical</t>
  </si>
  <si>
    <t>Unical CF</t>
  </si>
  <si>
    <t>Unifoam</t>
  </si>
  <si>
    <t>Synergistic surfactant blend; Foaming Agents</t>
  </si>
  <si>
    <t>Unipac</t>
  </si>
  <si>
    <t>Polyanionic Cellulose; Fluidloss Reducer</t>
  </si>
  <si>
    <t>Unitrol</t>
  </si>
  <si>
    <t>Unknown Additive</t>
  </si>
  <si>
    <t>unknown</t>
  </si>
  <si>
    <t>Valfor 100</t>
  </si>
  <si>
    <t>Sodium aluminosilicate; calcium remover</t>
  </si>
  <si>
    <t>Variseal</t>
  </si>
  <si>
    <t>Versaclean</t>
  </si>
  <si>
    <t>Mineral oil CaCl2 OBM; Systems</t>
  </si>
  <si>
    <t>Maybe used with Hydrocarbon systems. Note other additives that contain hydrocarbons.  Salt calc</t>
  </si>
  <si>
    <t>Versaclean B</t>
  </si>
  <si>
    <t>Low toxicity SHC base oils; Drill Mud Base Fluids</t>
  </si>
  <si>
    <t>Versacoat</t>
  </si>
  <si>
    <t>Blended emulsifier and gelling agent; emulsifier</t>
  </si>
  <si>
    <t>Versadrill</t>
  </si>
  <si>
    <t>Diesel calcium chloride OBM; Systems</t>
  </si>
  <si>
    <t>Diesel based hydrocarbon</t>
  </si>
  <si>
    <t>Versadrill B</t>
  </si>
  <si>
    <t>Diesel &amp; dirty mineral salts; Drill Mud Base Fluids</t>
  </si>
  <si>
    <t>Versahrp</t>
  </si>
  <si>
    <t>Liquid viscosifier &amp; gellant for oil muds; Viscosifiers</t>
  </si>
  <si>
    <t>Versalig</t>
  </si>
  <si>
    <t>Modified lignite; Filtrate Reducers</t>
  </si>
  <si>
    <t>Versamac</t>
  </si>
  <si>
    <t>Emulsifier for high-brine content fluid; emulsifier</t>
  </si>
  <si>
    <t>Versamod</t>
  </si>
  <si>
    <t>Low shear rate modifier for oil muds; Viscosity modifier; emulsifier</t>
  </si>
  <si>
    <t>Versamul</t>
  </si>
  <si>
    <t>Mineral oil emulsifier; emulsifier</t>
  </si>
  <si>
    <t>Versapac</t>
  </si>
  <si>
    <t>Thermally activated organic thixotrope; Viscosifiers</t>
  </si>
  <si>
    <t>Versapro P/S</t>
  </si>
  <si>
    <t>Primary emulsifier for Versapro system; emulsifier</t>
  </si>
  <si>
    <t>Versathin</t>
  </si>
  <si>
    <t>Versatrol</t>
  </si>
  <si>
    <t>Naturally occurring gilsonite; Filtrate Reducers</t>
  </si>
  <si>
    <t>Versawet</t>
  </si>
  <si>
    <t>Oil wetting agent for oil muds;  Surface Active Agents; emulsifier</t>
  </si>
  <si>
    <t>VG Supreme</t>
  </si>
  <si>
    <t>VG69</t>
  </si>
  <si>
    <t>Viscom</t>
  </si>
  <si>
    <t>Viscosifying polymer blend; Viscosifiers</t>
  </si>
  <si>
    <t>Visplus</t>
  </si>
  <si>
    <t>Thixotropic viscosifying polymer blend; Viscosifiers</t>
  </si>
  <si>
    <t>Volclay</t>
  </si>
  <si>
    <t>W O Defoam</t>
  </si>
  <si>
    <t>Walnut Hulls</t>
  </si>
  <si>
    <t>Ground Walnut shells; Lost Circulation Material</t>
  </si>
  <si>
    <t>filtrate reducer/ viscosifier</t>
  </si>
  <si>
    <t>Weatherfoam 104</t>
  </si>
  <si>
    <t>Polymer recyclable foam system; Systems</t>
  </si>
  <si>
    <t>Weight Salt</t>
  </si>
  <si>
    <t>Weighting Material</t>
  </si>
  <si>
    <t>Complete Ba calculations; assume to be barite unless otherwise noted</t>
  </si>
  <si>
    <t>Wellzyme A</t>
  </si>
  <si>
    <t>Enzyme breaker with biocide; Polymer Breakers</t>
  </si>
  <si>
    <t>Wellzyme AE</t>
  </si>
  <si>
    <t>Enzyme breaker without biocide; Polymer Breakers</t>
  </si>
  <si>
    <t>Western Poly</t>
  </si>
  <si>
    <t>Polyethylene flake; Lost Circulation Material</t>
  </si>
  <si>
    <t>Wetting Agent</t>
  </si>
  <si>
    <t>WFT Transfoam</t>
  </si>
  <si>
    <t>pH controlled foam; Foaming Agents</t>
  </si>
  <si>
    <t>WFT-C-100</t>
  </si>
  <si>
    <t>UBD Inhibitors; corrosion inhibitor</t>
  </si>
  <si>
    <t>WFT-C-200</t>
  </si>
  <si>
    <t>WFT-C-300</t>
  </si>
  <si>
    <t>WFT-C-400</t>
  </si>
  <si>
    <t>WFT-DF-100</t>
  </si>
  <si>
    <t>Defoamer for transfoam system; defoamer</t>
  </si>
  <si>
    <t>WFT-DF-I</t>
  </si>
  <si>
    <t>Defoamer for non-recyclable foam system; defoamer</t>
  </si>
  <si>
    <t>WFT-DT-104</t>
  </si>
  <si>
    <t>Defoamer for 104 foam system; defoamer</t>
  </si>
  <si>
    <t>WFT-F-100</t>
  </si>
  <si>
    <t>Non-recyclable foam; Foaming Agents</t>
  </si>
  <si>
    <t>WFT-F-104</t>
  </si>
  <si>
    <t>Blended surfactants; Foaming Agents</t>
  </si>
  <si>
    <t>WFT-HP-104</t>
  </si>
  <si>
    <t>Liquid blended HEC; Viscosifiers</t>
  </si>
  <si>
    <t>WFT-Oil Foam 2002</t>
  </si>
  <si>
    <t>Foaming agent for oil; Foaming Agents</t>
  </si>
  <si>
    <t>WFT-PP-104</t>
  </si>
  <si>
    <t>Liquid blended PAC; Viscosifiers</t>
  </si>
  <si>
    <t>WL 100</t>
  </si>
  <si>
    <t>Sodium polyacrylate; Filtrate Reducers</t>
  </si>
  <si>
    <t>WO 20</t>
  </si>
  <si>
    <t>Hydroxyethyl cellulose with calcium carbonate; Viscosifiers</t>
  </si>
  <si>
    <t>WO 21L</t>
  </si>
  <si>
    <t>Liquid HEC; Viscosifiers</t>
  </si>
  <si>
    <t>Wyoming Gel</t>
  </si>
  <si>
    <t>X Pel-G</t>
  </si>
  <si>
    <t>Treated gilsonite; Surface Active Agents</t>
  </si>
  <si>
    <t>Xandrill</t>
  </si>
  <si>
    <t>Semi-dispersible xantham gum; Viscosifiers</t>
  </si>
  <si>
    <t>XANPLEX</t>
  </si>
  <si>
    <t>Readily dispersible xanthan gum polymer; viscosifer</t>
  </si>
  <si>
    <t>Xan-Plex D</t>
  </si>
  <si>
    <t>Readily dispersible xanthan gum polymer; Viscosifiers</t>
  </si>
  <si>
    <t>Xanthan (Kelzan)</t>
  </si>
  <si>
    <t>Xanvis</t>
  </si>
  <si>
    <t>Xanvis L</t>
  </si>
  <si>
    <t>Liquid clarified xanthan gum; Viscosifiers</t>
  </si>
  <si>
    <t>XCD POLMER</t>
  </si>
  <si>
    <t>Dispersible xanthan gum; Viscoifier</t>
  </si>
  <si>
    <t>X-Cide 102W</t>
  </si>
  <si>
    <t>Winterized Gluteraldehyde; bactericides</t>
  </si>
  <si>
    <t>X-Cide 207</t>
  </si>
  <si>
    <t>Isothiazolone-base biostat powder; bactericides</t>
  </si>
  <si>
    <t>XL-Defoamer</t>
  </si>
  <si>
    <t>High Molecular Weight Alcohol Surfactant; defoamer</t>
  </si>
  <si>
    <t>X-Link</t>
  </si>
  <si>
    <t>Cross-linking polymer with blended LCM; Lost Circulation Material</t>
  </si>
  <si>
    <t>XLR-Rate</t>
  </si>
  <si>
    <t>X-Pel-G</t>
  </si>
  <si>
    <t>Treated gilsonite; Shale Control Inhibitors</t>
  </si>
  <si>
    <t>YP40</t>
  </si>
  <si>
    <t>YPC 71</t>
  </si>
  <si>
    <t>Zeogel</t>
  </si>
  <si>
    <t>Attapulgite powder; Viscosifiers</t>
  </si>
  <si>
    <t>ZETAG</t>
  </si>
  <si>
    <t>Flocculant</t>
  </si>
  <si>
    <t>Zetag 7117</t>
  </si>
  <si>
    <t>Liquid cationic coagulant; Flocculants</t>
  </si>
  <si>
    <t>Zetag 7197</t>
  </si>
  <si>
    <t>Liquid low mol. Wt. Cationic coagulant; Flocculants</t>
  </si>
  <si>
    <t>Zetag 7557</t>
  </si>
  <si>
    <t>HMW  charge cationic polyacrylamide; Flocculants</t>
  </si>
  <si>
    <t>Zetag 7587</t>
  </si>
  <si>
    <t>HMW medium charge cationic polyacrylamide; Flocculants</t>
  </si>
  <si>
    <t>Zetag 7692</t>
  </si>
  <si>
    <t>Very HMW medium charge cationic polyacrylamide; Flocculants</t>
  </si>
  <si>
    <t>Zinc Carbonate</t>
  </si>
  <si>
    <t>Sulphide scavenger; corrosion inhibitor</t>
  </si>
  <si>
    <t>March 2014</t>
  </si>
  <si>
    <t>Metal Calculations for Compliance Options One and Two                 1 of 2</t>
  </si>
  <si>
    <t>Metal Calculations for Compliance Options One and Two</t>
  </si>
  <si>
    <t xml:space="preserve">Note:  </t>
  </si>
  <si>
    <t xml:space="preserve">Different default mix ratios are provided depending on whether the well was drilled before  </t>
  </si>
  <si>
    <r>
      <t xml:space="preserve">or after October 22, 1996.  The 1996 version of </t>
    </r>
    <r>
      <rPr>
        <i/>
        <sz val="10"/>
        <rFont val="Arial"/>
        <family val="2"/>
      </rPr>
      <t>Guide 50</t>
    </r>
    <r>
      <rPr>
        <sz val="10"/>
        <rFont val="Arial"/>
        <family val="2"/>
      </rPr>
      <t xml:space="preserve">, </t>
    </r>
    <r>
      <rPr>
        <i/>
        <sz val="10"/>
        <rFont val="Arial"/>
        <family val="2"/>
      </rPr>
      <t xml:space="preserve">Drilling Waste Management, </t>
    </r>
  </si>
  <si>
    <t xml:space="preserve">which was issued by the Energy Resources Conservation Board on this date, increased the </t>
  </si>
  <si>
    <t>minimum mix ratio requirement from 1:1 to 3:1.</t>
  </si>
  <si>
    <t>Barite:</t>
  </si>
  <si>
    <t xml:space="preserve">Directions:  </t>
  </si>
  <si>
    <t xml:space="preserve"> Fill in the number of sacks and adjust for sack weight if different than 40 kg.  Enter the Well Depth </t>
  </si>
  <si>
    <t xml:space="preserve">in metres.  The spreadsheet will calculate the number of sacks per metre.  This value must be less than or equal </t>
  </si>
  <si>
    <r>
      <t xml:space="preserve">to </t>
    </r>
    <r>
      <rPr>
        <b/>
        <sz val="10"/>
        <rFont val="Arial"/>
        <family val="2"/>
      </rPr>
      <t>0.22</t>
    </r>
    <r>
      <rPr>
        <sz val="10"/>
        <rFont val="Arial"/>
        <family val="2"/>
      </rPr>
      <t xml:space="preserve">  If the value exceeds the objective, a Phase 2 ESA (Compliance Option 3) must be conducted.</t>
    </r>
  </si>
  <si>
    <t>Total Number of Sacks (40 kg/sack*)</t>
  </si>
  <si>
    <t>Mix Ratio**</t>
  </si>
  <si>
    <t>Sacks per Metre</t>
  </si>
  <si>
    <t>¸</t>
  </si>
  <si>
    <t>=</t>
  </si>
  <si>
    <t xml:space="preserve">* Sack weight may be adjusted by dividing the number of sacks by 40 and multiplying by the actual sack </t>
  </si>
  <si>
    <t xml:space="preserve">  weight in kilograms.  This value should be entered as the number of sacks</t>
  </si>
  <si>
    <t>**  Enter the number of parts of soil mixed with one part of waste.  For example, for a 3:1 mix ratio (3 parts soil to 1 part waste)</t>
  </si>
  <si>
    <t xml:space="preserve">    enter “3”.  If this value is not known, enter 1 for wells drilled before October 22 1996, or 3 for wells drilled on or after this date.</t>
  </si>
  <si>
    <t>Zinc Carbonate:</t>
  </si>
  <si>
    <t>Alternative 1:</t>
  </si>
  <si>
    <t>If waste zinc, mix ratio and waste dry bulk density data are available use the following calculator to estimate</t>
  </si>
  <si>
    <t>post-disposal zinc concentration.</t>
  </si>
  <si>
    <t>Directions:  Enter the total zinc concentration in mg/kg measured in the waste, the Waste Dry Bulk Density in</t>
  </si>
  <si>
    <r>
      <t>kg/m</t>
    </r>
    <r>
      <rPr>
        <vertAlign val="superscript"/>
        <sz val="10"/>
        <rFont val="Arial"/>
        <family val="2"/>
      </rPr>
      <t>3</t>
    </r>
    <r>
      <rPr>
        <sz val="10"/>
        <rFont val="Arial"/>
        <family val="2"/>
      </rPr>
      <t xml:space="preserve">, and Mix Ratio in the appropriate cells. The spreadsheet will calculate the post-diposal zinc concentration.  </t>
    </r>
  </si>
  <si>
    <r>
      <t>This value must be less than or equal to</t>
    </r>
    <r>
      <rPr>
        <b/>
        <sz val="10"/>
        <rFont val="Arial"/>
        <family val="2"/>
      </rPr>
      <t xml:space="preserve"> 200 mg/kg</t>
    </r>
    <r>
      <rPr>
        <sz val="10"/>
        <rFont val="Arial"/>
        <family val="2"/>
      </rPr>
      <t xml:space="preserve">.  If the value exceeds this objective, a Phase 2 ESA  </t>
    </r>
  </si>
  <si>
    <t>(Compliance Option 3) must be conducted.</t>
  </si>
  <si>
    <t>Waste Zinc Concentration (mg/kg)</t>
  </si>
  <si>
    <r>
      <t>Waste Dry Bulk Density* (kg/m</t>
    </r>
    <r>
      <rPr>
        <vertAlign val="superscript"/>
        <sz val="10"/>
        <rFont val="Arial"/>
        <family val="2"/>
      </rPr>
      <t>3</t>
    </r>
    <r>
      <rPr>
        <sz val="10"/>
        <rFont val="Arial"/>
        <family val="2"/>
      </rPr>
      <t>)</t>
    </r>
  </si>
  <si>
    <t>Post-Disposal Zn Concentration (mg/kg)</t>
  </si>
  <si>
    <t>x</t>
  </si>
  <si>
    <t>+</t>
  </si>
  <si>
    <t>* Waste Dry Bulk Density = (Waste Specific Gravity – 1) x 1600</t>
  </si>
  <si>
    <t xml:space="preserve">** Enter the number of parts of soil mixed with one part of waste.  For example, for a 3:1 mix ratio (3 parts soil to 1 part waste) </t>
  </si>
  <si>
    <t xml:space="preserve">   enter “3”.   If this value is not known, enter 1 for wells drilled before October 22 1996, or 3 for wells drilled on or after this date.</t>
  </si>
  <si>
    <t>Alternative 2:</t>
  </si>
  <si>
    <t>If the above data is not available use the following equation to calculate the number of sacks of zinc carbonate</t>
  </si>
  <si>
    <t>added per meter drilled.</t>
  </si>
  <si>
    <t>Directions:  Fill in the number of sacks and adjust for sack weight if different than 25 kg.  Enter the Well Depth in</t>
  </si>
  <si>
    <t xml:space="preserve">metres.  The spreadsheet will calculate the number of sacks per metre.  This value must be less than or equal to </t>
  </si>
  <si>
    <r>
      <t>0.00650</t>
    </r>
    <r>
      <rPr>
        <sz val="10"/>
        <rFont val="Arial"/>
        <family val="2"/>
      </rPr>
      <t>.  If the value exceeds the objective, a Phase 2 ESA (Compliance Option 3) must be conducted.</t>
    </r>
  </si>
  <si>
    <t>Total Number of Sacks (25 kg/sack*)</t>
  </si>
  <si>
    <t xml:space="preserve">*  Sack weight may be adjusted by dividing the number of sacks by 25 and multiplying by the actual sack weight  in kilograms.  This </t>
  </si>
  <si>
    <t xml:space="preserve">value should be entered as the number of sacks. </t>
  </si>
  <si>
    <t>Required Field</t>
  </si>
  <si>
    <t>Metal Calculations for Compliance Options One and Two                 2 of 2</t>
  </si>
  <si>
    <t>Chromium-based Thinner:</t>
  </si>
  <si>
    <t>If waste chromium, mix ratio and waste bulk density data are available use the following calculator to estimate</t>
  </si>
  <si>
    <t>post-disposal chromium concentration.</t>
  </si>
  <si>
    <t xml:space="preserve">Directions:  Enter the Total Chromium Concentration in mg/kg measured in the waste, the Waste Dry Bulk   </t>
  </si>
  <si>
    <t xml:space="preserve">Density in kg/m3, and Mix Ratio in the appropriate cells.  The spreadsheet will calculate the Post-Disposal </t>
  </si>
  <si>
    <t>Chromium Concentration.  If this value is greater than 64 mg/kg, a Phase 2 ESA (Compliance Option 3) is required.</t>
  </si>
  <si>
    <t>Waste Chromium Concentration (mg/kg)</t>
  </si>
  <si>
    <t>Mix Ratio</t>
  </si>
  <si>
    <t>Post-Disposal Cr Concentration (mg/kg)</t>
  </si>
  <si>
    <t>*   Waste Dry Bulk Density = (Waste Specific Gravity – 1) x 1600</t>
  </si>
  <si>
    <t xml:space="preserve">**  Enter the number of parts of soil mixed with one part of waste.  For example, for a 3:1  mix ratio (3 parts soil to 1 part waste) </t>
  </si>
  <si>
    <t xml:space="preserve">    enter “3”.   If this value is not known, enter 1 for wells drilled before October 22 1996, or 3 for wells drilled on or after this date.</t>
  </si>
  <si>
    <t xml:space="preserve">If the above data is not available use the following equation to calculate the number of sacks of chrome thinner </t>
  </si>
  <si>
    <t>added per meter drilled.  If the number of sacks exceeds the limits below, a Phase 2 is required.</t>
  </si>
  <si>
    <t>Directions:  Fill in the number of sacks and adjust for sack weight if different than 25 kg.  Enter the Well Depth</t>
  </si>
  <si>
    <t xml:space="preserve"> in metres.  The spreadsheet will calculate the number of sacks per metre.  This value must be less than or</t>
  </si>
  <si>
    <r>
      <t xml:space="preserve"> equal to </t>
    </r>
    <r>
      <rPr>
        <b/>
        <sz val="10"/>
        <rFont val="Arial"/>
        <family val="2"/>
      </rPr>
      <t xml:space="preserve">0.020. </t>
    </r>
    <r>
      <rPr>
        <sz val="10"/>
        <rFont val="Arial"/>
        <family val="2"/>
      </rPr>
      <t xml:space="preserve"> If the value exceeds the objective, a Phase 2 ESA (Compliance Option 3) must be conducted.</t>
    </r>
  </si>
  <si>
    <t>* Sack weight may be adjusted by dividing the number of sacks by 25 and multiplying by the actual sack weight in kilograms. This</t>
  </si>
  <si>
    <t xml:space="preserve"> value should be entered as the number of sacks.</t>
  </si>
  <si>
    <t>Salt Calculations for Option Two                      1 of 2</t>
  </si>
  <si>
    <t xml:space="preserve">Salt Calculations for Option 2: </t>
  </si>
  <si>
    <t>Alternative 1</t>
  </si>
  <si>
    <t>If the volume of drilling waste is known, use the following calculator to determine the NaOH Equivalent</t>
  </si>
  <si>
    <r>
      <t>Sacks per m</t>
    </r>
    <r>
      <rPr>
        <vertAlign val="superscript"/>
        <sz val="10"/>
        <rFont val="Arial"/>
        <family val="2"/>
      </rPr>
      <t>3</t>
    </r>
    <r>
      <rPr>
        <sz val="10"/>
        <rFont val="Arial"/>
        <family val="2"/>
      </rPr>
      <t xml:space="preserve"> of waste.  If this value is greater than </t>
    </r>
    <r>
      <rPr>
        <b/>
        <sz val="10"/>
        <rFont val="Arial"/>
        <family val="2"/>
      </rPr>
      <t>0.10</t>
    </r>
    <r>
      <rPr>
        <sz val="10"/>
        <rFont val="Arial"/>
        <family val="2"/>
      </rPr>
      <t>, a Phase 2 ESA (Compliance Option 3) is required.</t>
    </r>
  </si>
  <si>
    <t>Directions:  Fill in the number of sacks and adjust for sack weight if different than 25 kg.   Enter the</t>
  </si>
  <si>
    <t>Waste Volume in cubic metres.  The spreadsheet will calculate the NaOH Equivalent Sacks per Metre.</t>
  </si>
  <si>
    <t>Additive</t>
  </si>
  <si>
    <t>Number of Sacks (25 kg/sack*)</t>
  </si>
  <si>
    <t>NaOH Equivalency Factor</t>
  </si>
  <si>
    <t xml:space="preserve">NaOH Equivalent Sacks </t>
  </si>
  <si>
    <t>X</t>
  </si>
  <si>
    <t>Sodium Chloride</t>
  </si>
  <si>
    <t>Sodium Bicarbonate</t>
  </si>
  <si>
    <t>Sodium Silicate</t>
  </si>
  <si>
    <t>Sodium acid pyrophosphate (SAPP)</t>
  </si>
  <si>
    <t>Gypsum**</t>
  </si>
  <si>
    <t>Lime**</t>
  </si>
  <si>
    <t>** Maximum number of sacks = 0.02 x well depth (m)</t>
  </si>
  <si>
    <t>Potassium chloride</t>
  </si>
  <si>
    <t>Potassium sulphate</t>
  </si>
  <si>
    <t>Caustic potash</t>
  </si>
  <si>
    <t>Potassium formate</t>
  </si>
  <si>
    <t>Potassium silicate</t>
  </si>
  <si>
    <t>Potassium nitrate</t>
  </si>
  <si>
    <t>Diammonium phosphate</t>
  </si>
  <si>
    <t>Ammonium nitrate</t>
  </si>
  <si>
    <t>Ammonium sulphate</t>
  </si>
  <si>
    <t>Drill Stem Test Returns</t>
  </si>
  <si>
    <t>Total NaOH Equivalent Sacks</t>
  </si>
  <si>
    <r>
      <t>Waste Volume (m</t>
    </r>
    <r>
      <rPr>
        <vertAlign val="superscript"/>
        <sz val="10"/>
        <rFont val="Arial"/>
        <family val="2"/>
      </rPr>
      <t>3</t>
    </r>
    <r>
      <rPr>
        <sz val="10"/>
        <rFont val="Arial"/>
        <family val="2"/>
      </rPr>
      <t>)</t>
    </r>
  </si>
  <si>
    <r>
      <t>NaOH Equivalent Sacks per m</t>
    </r>
    <r>
      <rPr>
        <vertAlign val="superscript"/>
        <sz val="10"/>
        <rFont val="Arial"/>
        <family val="2"/>
      </rPr>
      <t>3</t>
    </r>
  </si>
  <si>
    <t>*  Sack weight may be adjusted by dividing the number of sacks by 25 and multiplying by the actual sack weight  in kilograms.</t>
  </si>
  <si>
    <t xml:space="preserve">  This value should be entered as the number of sacks.</t>
  </si>
  <si>
    <t xml:space="preserve">** Note: Up to 0.02 sacks of gypsum and lime per metre of well depth should be counted with other  salt additives.  </t>
  </si>
  <si>
    <t xml:space="preserve">   Gypsum and lime must be calculated separately.  Because of the limited solubility of gypsum and lime, sacks in excess</t>
  </si>
  <si>
    <t xml:space="preserve">   of this value need not be counted.</t>
  </si>
  <si>
    <t>Salt Calculations for Option Two                      2 of 2</t>
  </si>
  <si>
    <t>Alternative 2</t>
  </si>
  <si>
    <t>If the volume of drilling waste is not known, use the following calculator to determine the NaOH Equivalent</t>
  </si>
  <si>
    <r>
      <t xml:space="preserve">Sacks per metre of well depth.  This value must be less than </t>
    </r>
    <r>
      <rPr>
        <b/>
        <sz val="10"/>
        <rFont val="Arial"/>
        <family val="2"/>
      </rPr>
      <t>0.0260</t>
    </r>
    <r>
      <rPr>
        <sz val="10"/>
        <rFont val="Arial"/>
        <family val="2"/>
      </rPr>
      <t xml:space="preserve"> for wells drilled before October 22 1996, </t>
    </r>
  </si>
  <si>
    <r>
      <t xml:space="preserve">or </t>
    </r>
    <r>
      <rPr>
        <b/>
        <sz val="10"/>
        <rFont val="Arial"/>
        <family val="2"/>
      </rPr>
      <t>0.0350</t>
    </r>
    <r>
      <rPr>
        <sz val="10"/>
        <rFont val="Arial"/>
        <family val="2"/>
      </rPr>
      <t xml:space="preserve"> for wells drilled on or after this date.  If the value exceeds the target, a Phase 2 ESA </t>
    </r>
  </si>
  <si>
    <t xml:space="preserve">Well Depth in metres.  The spreadsheet will calculate the NaOH Equivalent Sacks per Metre. </t>
  </si>
  <si>
    <t>Number of sacks (25 kg/sack*)</t>
  </si>
  <si>
    <t>** Max = 0.02 x well depth (m)</t>
  </si>
  <si>
    <t>NaOH Equivalent Sacks per Metre</t>
  </si>
  <si>
    <t xml:space="preserve">*  Sack weight may be adjusted by dividing the number of sacks by 25 and multiplying by the actual sack weight in  </t>
  </si>
  <si>
    <t xml:space="preserve">  kilograms.  This value should be entered as the number of sacks.</t>
  </si>
  <si>
    <t xml:space="preserve">** Note: Up to 0.02 sacks of gypsum and lime per metre of well depth should be counted with other salt additives. </t>
  </si>
  <si>
    <t xml:space="preserve">  Because of the limited solubility of gypsum and lime, sacks in excess of this value need not be counted.</t>
  </si>
  <si>
    <t>Drill Stem Test Returns for Option 2                      1 of 2</t>
  </si>
  <si>
    <t>Drill Stem Test Return Calculations for Compliance Option Two</t>
  </si>
  <si>
    <t>Salinity:</t>
  </si>
  <si>
    <t>Note:  Either the resistivity or the chloride calculation must be completed.  It is not necessary to</t>
  </si>
  <si>
    <t xml:space="preserve">complete both calculations.  Resistivity data should be used when available.  If resistivity is not </t>
  </si>
  <si>
    <t xml:space="preserve">available, the chloride calculation should be used.  If the volume is specified but neither chloride nor </t>
  </si>
  <si>
    <t xml:space="preserve">resistivity is available, use the default concentration in the chloride calculation.  If no volume is </t>
  </si>
  <si>
    <t>available, a Phase 2 (Compliance Option 3) is required.</t>
  </si>
  <si>
    <t>Alternative 1:  Resistivity</t>
  </si>
  <si>
    <t xml:space="preserve">Directions:  Enter the drill stem diameter for the drill stem test (DST) section in millimeters, the length of </t>
  </si>
  <si>
    <t xml:space="preserve">the DST return (including mud returns) in metres and the resistivity of the DST fluid in ohms.   </t>
  </si>
  <si>
    <t xml:space="preserve">The spreadsheet will calculate the equivalent number of sacks.  This value must be entered in the salt   </t>
  </si>
  <si>
    <t>calculation in the cell labelled "Drill Stem Test Returns".</t>
  </si>
  <si>
    <t>Inner Diameter of Pipe (mm)</t>
  </si>
  <si>
    <t>Length of Drill Stem Test Return (m)</t>
  </si>
  <si>
    <r>
      <t>Volume of Returns (m</t>
    </r>
    <r>
      <rPr>
        <vertAlign val="superscript"/>
        <sz val="10"/>
        <rFont val="Trebuchet MS"/>
        <family val="2"/>
      </rPr>
      <t>3</t>
    </r>
    <r>
      <rPr>
        <sz val="10"/>
        <rFont val="Trebuchet MS"/>
        <family val="2"/>
      </rPr>
      <t>)</t>
    </r>
  </si>
  <si>
    <t>Resistivity (Ohms)*</t>
  </si>
  <si>
    <t>Number of Sacks</t>
  </si>
  <si>
    <t>Total number of sacks</t>
  </si>
  <si>
    <t>* Resistivity values from formation water databases or adjacent wells are currently not acceptable.</t>
  </si>
  <si>
    <t>Alternative 2:  Chloride</t>
  </si>
  <si>
    <t xml:space="preserve">the DST return (including mud returns) in metres and the chloride concentration of the DST fluid in mg/L. </t>
  </si>
  <si>
    <t xml:space="preserve">The spreadsheet will  calculate the equivalent number of sacks.  This value must be entered in the salt </t>
  </si>
  <si>
    <r>
      <t>Volume of Returns (m</t>
    </r>
    <r>
      <rPr>
        <vertAlign val="superscript"/>
        <sz val="10"/>
        <rFont val="Trebuchet MS"/>
        <family val="2"/>
      </rPr>
      <t>3</t>
    </r>
    <r>
      <rPr>
        <sz val="10"/>
        <rFont val="Trebuchet MS"/>
        <family val="2"/>
      </rPr>
      <t>)*</t>
    </r>
  </si>
  <si>
    <t>Chloride Concentration* (mg/L)</t>
  </si>
  <si>
    <t xml:space="preserve">*If chloride concentration is not specified, use 215,000 mg/L.  Chloride concentrations from </t>
  </si>
  <si>
    <t>formation water databases or adjacent wells are currently not acceptable.</t>
  </si>
  <si>
    <t>Drill Stem Test Returns for Option 2                      2 of 2</t>
  </si>
  <si>
    <t>Directions:  Enter the drill stem diameter for the drill stem test (DST) section in millimeters, the</t>
  </si>
  <si>
    <t xml:space="preserve">length of the DST return in metres, the percent oil content of the DST fluid, the well depth in </t>
  </si>
  <si>
    <t>metres and the mix ratio.  The spreadsheet will calculate the post disposal oil concentration</t>
  </si>
  <si>
    <r>
      <t xml:space="preserve">If this value is greater than </t>
    </r>
    <r>
      <rPr>
        <b/>
        <sz val="10"/>
        <rFont val="Trebuchet MS"/>
        <family val="2"/>
      </rPr>
      <t>0.10%</t>
    </r>
    <r>
      <rPr>
        <sz val="10"/>
        <rFont val="Trebuchet MS"/>
        <family val="2"/>
      </rPr>
      <t xml:space="preserve"> (dry weight) in subsoil or </t>
    </r>
    <r>
      <rPr>
        <b/>
        <sz val="10"/>
        <rFont val="Trebuchet MS"/>
        <family val="2"/>
      </rPr>
      <t>0.50%</t>
    </r>
    <r>
      <rPr>
        <sz val="10"/>
        <rFont val="Trebuchet MS"/>
        <family val="2"/>
      </rPr>
      <t xml:space="preserve"> (dry weight) in topsoil,</t>
    </r>
  </si>
  <si>
    <t xml:space="preserve">a Phase 2 ESA (Compliance Option 3) is required.  </t>
  </si>
  <si>
    <t>Oil Content (%)*</t>
  </si>
  <si>
    <r>
      <t>Vol. of Oil (m</t>
    </r>
    <r>
      <rPr>
        <vertAlign val="superscript"/>
        <sz val="10"/>
        <rFont val="Trebuchet MS"/>
        <family val="2"/>
      </rPr>
      <t>3</t>
    </r>
    <r>
      <rPr>
        <sz val="10"/>
        <rFont val="Trebuchet MS"/>
        <family val="2"/>
      </rPr>
      <t xml:space="preserve"> x 100)</t>
    </r>
  </si>
  <si>
    <t>Total Volume of Oil</t>
  </si>
  <si>
    <t>Post-Disposal Oil Concentration (%)</t>
  </si>
  <si>
    <t xml:space="preserve">*  Actual measured oil concentration must be used if available.  If only visual descriptions are </t>
  </si>
  <si>
    <t xml:space="preserve">   available then use the following to estimate oil concentration:</t>
  </si>
  <si>
    <t>Flecked = 5%</t>
  </si>
  <si>
    <t>Emulsion = 25%</t>
  </si>
  <si>
    <t>Oil or oil-cut mud= 100%</t>
  </si>
  <si>
    <t xml:space="preserve">      Do not include gas-cut mud or mud with no indication of oil.</t>
  </si>
  <si>
    <t>** Enter the number of parts of soil mixed with one part of waste.  For example, for a 3:1 mix ratio</t>
  </si>
  <si>
    <t xml:space="preserve">     (3 parts soil to 1 part waste) enter “3”.  If this value is not known, enter 1 for wells drilled before </t>
  </si>
  <si>
    <t xml:space="preserve">    October 22 1996, or 3 for wells drilled on or after this date.</t>
  </si>
  <si>
    <r>
      <t xml:space="preserve">Sheets </t>
    </r>
    <r>
      <rPr>
        <sz val="11"/>
        <color theme="1"/>
        <rFont val="Calibri"/>
        <family val="2"/>
        <scheme val="minor"/>
      </rPr>
      <t>(only populate colored tabbed sheets - If applicable)</t>
    </r>
  </si>
  <si>
    <r>
      <t xml:space="preserve">* to print calculations go to Acrobat/Create PDF and select sheets to print as PDF. Re-name the PDF to </t>
    </r>
    <r>
      <rPr>
        <b/>
        <sz val="11"/>
        <color theme="1"/>
        <rFont val="Calibri"/>
        <family val="2"/>
        <scheme val="minor"/>
      </rPr>
      <t>23XXXX - XX-XX-XXX-XX WXM - DW Calculations</t>
    </r>
  </si>
  <si>
    <t>P1 OneStop Info</t>
  </si>
  <si>
    <t>Compliance Option Calculations</t>
  </si>
  <si>
    <t xml:space="preserve">*Do not need to populate (ref/support docs) </t>
  </si>
  <si>
    <t>Sheet Notes</t>
  </si>
  <si>
    <t xml:space="preserve">Mud List/s </t>
  </si>
  <si>
    <r>
      <t xml:space="preserve">* to bring in </t>
    </r>
    <r>
      <rPr>
        <b/>
        <sz val="11"/>
        <color theme="1"/>
        <rFont val="Calibri"/>
        <family val="2"/>
        <scheme val="minor"/>
      </rPr>
      <t>Abadata Well Report Data</t>
    </r>
    <r>
      <rPr>
        <sz val="11"/>
        <color theme="1"/>
        <rFont val="Calibri"/>
        <family val="2"/>
        <scheme val="minor"/>
      </rPr>
      <t xml:space="preserve"> (into 'well report' sheet), go to AbaData, and highlight the well in yellow (using select tool). Go to reports (select) and click well report (include all events). When it loads, hit the save button and csv. It will download, and you can save as excel workbook. Copy and paste this info into the 'well report' sheet. You may notice the 'Phase 1 Data' sheet isn't pulling the info. You'll need to either write out the license number on the Phase 1 Data sheet and hit enter. </t>
    </r>
  </si>
  <si>
    <t xml:space="preserve">* to bring in 'annual production by Lic report' info, select well (as seen above) and select reports (select) and hit 'well annual production totals &amp; group by license #'. Run report, save as csv, when it downloads save as excel workbook and copy/paste into into sheet. </t>
  </si>
  <si>
    <t xml:space="preserve">* Pls review the most succint source of data first (I.e., mud lists). If they are not present and we have Daily Drilling Reports and/or Tours, review the most succint of the two. Only review additional documents if the site is on the verge of passing, but still fails. If you complete more than one Mud Tally sheet, highlight these values for reviewer and make comments on sheet.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</si>
</sst>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1009]d/mmm/yy;@"/>
  </numFmts>
  <fonts count="50" x14ac:knownFonts="1">
    <font>
      <sz val="11"/>
      <color theme="1"/>
      <name val="Calibri"/>
      <family val="2"/>
      <scheme val="minor"/>
    </font>
    <font>
      <b/>
      <sz val="11"/>
      <color theme="3"/>
      <name val="Calibri"/>
      <family val="2"/>
      <scheme val="minor"/>
    </font>
    <font>
      <sz val="8"/>
      <name val="Calibri"/>
      <family val="2"/>
      <scheme val="minor"/>
    </font>
    <font>
      <sz val="11"/>
      <color theme="0"/>
      <name val="Calibri"/>
      <family val="2"/>
      <scheme val="minor"/>
    </font>
    <font>
      <b/>
      <sz val="18"/>
      <color theme="1"/>
      <name val="Calibri"/>
      <family val="2"/>
      <scheme val="minor"/>
    </font>
    <font>
      <b/>
      <sz val="14"/>
      <color theme="1"/>
      <name val="Calibri"/>
      <family val="2"/>
      <scheme val="minor"/>
    </font>
    <font>
      <b/>
      <sz val="14"/>
      <color theme="0"/>
      <name val="Calibri"/>
      <family val="2"/>
      <scheme val="minor"/>
    </font>
    <font>
      <b/>
      <sz val="11"/>
      <color theme="0"/>
      <name val="Calibri"/>
      <family val="2"/>
      <scheme val="minor"/>
    </font>
    <font>
      <b/>
      <sz val="11"/>
      <color theme="1"/>
      <name val="Calibri"/>
      <family val="2"/>
      <scheme val="minor"/>
    </font>
    <font>
      <b/>
      <vertAlign val="superscript"/>
      <sz val="11"/>
      <color theme="0"/>
      <name val="Calibri"/>
      <family val="2"/>
      <scheme val="minor"/>
    </font>
    <font>
      <sz val="11"/>
      <name val="Calibri"/>
      <family val="2"/>
      <scheme val="minor"/>
    </font>
    <font>
      <b/>
      <sz val="18"/>
      <color theme="0"/>
      <name val="Calibri"/>
      <family val="2"/>
      <scheme val="minor"/>
    </font>
    <font>
      <b/>
      <sz val="11"/>
      <color theme="7" tint="0.59999389629810485"/>
      <name val="Calibri"/>
      <family val="2"/>
      <scheme val="minor"/>
    </font>
    <font>
      <b/>
      <sz val="11"/>
      <name val="Calibri"/>
      <family val="2"/>
      <scheme val="minor"/>
    </font>
    <font>
      <b/>
      <sz val="12"/>
      <name val="Calibri"/>
      <family val="2"/>
      <scheme val="minor"/>
    </font>
    <font>
      <sz val="11"/>
      <color rgb="FFFFC000"/>
      <name val="Calibri"/>
      <family val="2"/>
      <scheme val="minor"/>
    </font>
    <font>
      <b/>
      <sz val="11"/>
      <color rgb="FFFFC000"/>
      <name val="Calibri"/>
      <family val="2"/>
      <scheme val="minor"/>
    </font>
    <font>
      <b/>
      <vertAlign val="superscript"/>
      <sz val="11"/>
      <color rgb="FFFFC000"/>
      <name val="Calibri"/>
      <family val="2"/>
      <scheme val="minor"/>
    </font>
    <font>
      <b/>
      <sz val="14"/>
      <color rgb="FFFF0000"/>
      <name val="Calibri"/>
      <family val="2"/>
      <scheme val="minor"/>
    </font>
    <font>
      <b/>
      <sz val="11"/>
      <color rgb="FFFF0000"/>
      <name val="Calibri"/>
      <family val="2"/>
      <scheme val="minor"/>
    </font>
    <font>
      <sz val="11"/>
      <color theme="1"/>
      <name val="Arial"/>
      <family val="2"/>
    </font>
    <font>
      <sz val="10"/>
      <color theme="1"/>
      <name val="Arial"/>
      <family val="2"/>
    </font>
    <font>
      <sz val="10"/>
      <name val="Arial"/>
      <family val="2"/>
    </font>
    <font>
      <sz val="10"/>
      <color rgb="FFFF0000"/>
      <name val="Arial"/>
      <family val="2"/>
    </font>
    <font>
      <sz val="9"/>
      <color rgb="FF333333"/>
      <name val="Arial"/>
      <family val="2"/>
    </font>
    <font>
      <b/>
      <u/>
      <sz val="11"/>
      <color theme="1"/>
      <name val="Calibri"/>
      <family val="2"/>
      <scheme val="minor"/>
    </font>
    <font>
      <b/>
      <sz val="10"/>
      <color rgb="FF000000"/>
      <name val="Arial"/>
      <family val="2"/>
    </font>
    <font>
      <b/>
      <sz val="10"/>
      <color theme="1"/>
      <name val="Arial"/>
      <family val="2"/>
    </font>
    <font>
      <sz val="10"/>
      <color rgb="FF000000"/>
      <name val="Arial"/>
      <family val="2"/>
    </font>
    <font>
      <sz val="9"/>
      <name val="Arial"/>
      <family val="2"/>
    </font>
    <font>
      <sz val="10"/>
      <name val="Arial"/>
      <family val="2"/>
    </font>
    <font>
      <i/>
      <sz val="10"/>
      <name val="Arial"/>
      <family val="2"/>
    </font>
    <font>
      <i/>
      <sz val="9"/>
      <name val="Arial"/>
      <family val="2"/>
    </font>
    <font>
      <b/>
      <sz val="10"/>
      <name val="Arial"/>
      <family val="2"/>
    </font>
    <font>
      <b/>
      <i/>
      <sz val="10"/>
      <name val="Arial"/>
      <family val="2"/>
    </font>
    <font>
      <b/>
      <sz val="10"/>
      <name val="Symbol"/>
      <family val="1"/>
      <charset val="2"/>
    </font>
    <font>
      <sz val="8"/>
      <name val="Arial"/>
      <family val="2"/>
    </font>
    <font>
      <sz val="10"/>
      <name val="Trebuchet MS"/>
      <family val="2"/>
    </font>
    <font>
      <vertAlign val="superscript"/>
      <sz val="10"/>
      <name val="Arial"/>
      <family val="2"/>
    </font>
    <font>
      <sz val="9.5"/>
      <name val="Arial"/>
      <family val="2"/>
    </font>
    <font>
      <sz val="9.5"/>
      <name val="Arial"/>
      <family val="2"/>
    </font>
    <font>
      <sz val="10"/>
      <color indexed="8"/>
      <name val="Arial"/>
      <family val="2"/>
    </font>
    <font>
      <b/>
      <u/>
      <sz val="11"/>
      <name val="Arial"/>
      <family val="2"/>
    </font>
    <font>
      <sz val="8"/>
      <name val="Arial"/>
      <family val="2"/>
    </font>
    <font>
      <b/>
      <sz val="10"/>
      <name val="Trebuchet MS"/>
      <family val="2"/>
    </font>
    <font>
      <b/>
      <i/>
      <sz val="10"/>
      <name val="Trebuchet MS"/>
      <family val="2"/>
    </font>
    <font>
      <sz val="9"/>
      <name val="Trebuchet MS"/>
      <family val="2"/>
    </font>
    <font>
      <i/>
      <sz val="10"/>
      <name val="Trebuchet MS"/>
      <family val="2"/>
    </font>
    <font>
      <vertAlign val="superscript"/>
      <sz val="10"/>
      <name val="Trebuchet MS"/>
      <family val="2"/>
    </font>
    <font>
      <sz val="11"/>
      <color rgb="FFFF0000"/>
      <name val="Calibri"/>
      <family val="2"/>
      <scheme val="minor"/>
    </font>
  </fonts>
  <fills count="49">
    <fill>
      <patternFill patternType="none"/>
    </fill>
    <fill>
      <patternFill patternType="gray125"/>
    </fill>
    <fill>
      <patternFill patternType="solid">
        <fgColor theme="9"/>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5"/>
        <bgColor indexed="64"/>
      </patternFill>
    </fill>
    <fill>
      <patternFill patternType="solid">
        <fgColor theme="5" tint="0.79998168889431442"/>
        <bgColor indexed="64"/>
      </patternFill>
    </fill>
    <fill>
      <patternFill patternType="solid">
        <fgColor theme="4"/>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7"/>
        <bgColor indexed="64"/>
      </patternFill>
    </fill>
    <fill>
      <patternFill patternType="solid">
        <fgColor theme="7" tint="0.79998168889431442"/>
        <bgColor indexed="64"/>
      </patternFill>
    </fill>
    <fill>
      <patternFill patternType="solid">
        <fgColor theme="1"/>
        <bgColor theme="1"/>
      </patternFill>
    </fill>
    <fill>
      <patternFill patternType="solid">
        <fgColor theme="7" tint="0.59999389629810485"/>
        <bgColor indexed="64"/>
      </patternFill>
    </fill>
    <fill>
      <patternFill patternType="solid">
        <fgColor theme="7" tint="0.39997558519241921"/>
        <bgColor indexed="64"/>
      </patternFill>
    </fill>
    <fill>
      <patternFill patternType="solid">
        <fgColor theme="7" tint="-0.249977111117893"/>
        <bgColor indexed="64"/>
      </patternFill>
    </fill>
    <fill>
      <patternFill patternType="solid">
        <fgColor rgb="FFC00000"/>
        <bgColor indexed="64"/>
      </patternFill>
    </fill>
    <fill>
      <patternFill patternType="solid">
        <fgColor rgb="FFFFC1C1"/>
        <bgColor indexed="64"/>
      </patternFill>
    </fill>
    <fill>
      <patternFill patternType="solid">
        <fgColor rgb="FF017C8D"/>
        <bgColor indexed="64"/>
      </patternFill>
    </fill>
    <fill>
      <patternFill patternType="solid">
        <fgColor rgb="FFBEF6FE"/>
        <bgColor indexed="64"/>
      </patternFill>
    </fill>
    <fill>
      <patternFill patternType="solid">
        <fgColor rgb="FF66ECFE"/>
        <bgColor indexed="64"/>
      </patternFill>
    </fill>
    <fill>
      <patternFill patternType="solid">
        <fgColor rgb="FF01CDE9"/>
        <bgColor indexed="64"/>
      </patternFill>
    </fill>
    <fill>
      <patternFill patternType="solid">
        <fgColor rgb="FF7030A0"/>
        <bgColor indexed="64"/>
      </patternFill>
    </fill>
    <fill>
      <patternFill patternType="solid">
        <fgColor rgb="FFEFE5F7"/>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01A5BB"/>
        <bgColor indexed="64"/>
      </patternFill>
    </fill>
    <fill>
      <patternFill patternType="solid">
        <fgColor theme="1"/>
        <bgColor indexed="64"/>
      </patternFill>
    </fill>
    <fill>
      <patternFill patternType="solid">
        <fgColor theme="5"/>
        <bgColor theme="1"/>
      </patternFill>
    </fill>
    <fill>
      <patternFill patternType="solid">
        <fgColor theme="3"/>
        <bgColor indexed="64"/>
      </patternFill>
    </fill>
    <fill>
      <patternFill patternType="solid">
        <fgColor theme="9" tint="-0.249977111117893"/>
        <bgColor indexed="64"/>
      </patternFill>
    </fill>
    <fill>
      <patternFill patternType="solid">
        <fgColor theme="1" tint="0.499984740745262"/>
        <bgColor indexed="64"/>
      </patternFill>
    </fill>
    <fill>
      <patternFill patternType="solid">
        <fgColor theme="5" tint="0.59999389629810485"/>
        <bgColor indexed="64"/>
      </patternFill>
    </fill>
    <fill>
      <patternFill patternType="solid">
        <fgColor rgb="FFFFC000"/>
        <bgColor indexed="64"/>
      </patternFill>
    </fill>
    <fill>
      <patternFill patternType="solid">
        <fgColor rgb="FFFFFF00"/>
        <bgColor indexed="64"/>
      </patternFill>
    </fill>
    <fill>
      <patternFill patternType="solid">
        <fgColor theme="8" tint="0.79998168889431442"/>
        <bgColor indexed="64"/>
      </patternFill>
    </fill>
    <fill>
      <patternFill patternType="solid">
        <fgColor rgb="FF92D050"/>
        <bgColor indexed="64"/>
      </patternFill>
    </fill>
    <fill>
      <patternFill patternType="solid">
        <fgColor rgb="FFFF99CC"/>
        <bgColor indexed="64"/>
      </patternFill>
    </fill>
    <fill>
      <patternFill patternType="solid">
        <fgColor rgb="FF00B0F0"/>
        <bgColor indexed="64"/>
      </patternFill>
    </fill>
    <fill>
      <patternFill patternType="solid">
        <fgColor rgb="FF00B050"/>
        <bgColor indexed="64"/>
      </patternFill>
    </fill>
    <fill>
      <patternFill patternType="solid">
        <fgColor rgb="FFFF0000"/>
        <bgColor indexed="64"/>
      </patternFill>
    </fill>
    <fill>
      <patternFill patternType="solid">
        <fgColor indexed="22"/>
        <bgColor indexed="64"/>
      </patternFill>
    </fill>
    <fill>
      <patternFill patternType="solid">
        <fgColor indexed="41"/>
        <bgColor indexed="64"/>
      </patternFill>
    </fill>
    <fill>
      <patternFill patternType="solid">
        <fgColor theme="0"/>
        <bgColor indexed="64"/>
      </patternFill>
    </fill>
    <fill>
      <patternFill patternType="solid">
        <fgColor theme="9" tint="0.39997558519241921"/>
        <bgColor indexed="64"/>
      </patternFill>
    </fill>
  </fills>
  <borders count="53">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1"/>
      </left>
      <right/>
      <top style="thin">
        <color theme="1"/>
      </top>
      <bottom/>
      <diagonal/>
    </border>
    <border>
      <left style="thin">
        <color theme="1"/>
      </left>
      <right style="thin">
        <color theme="1"/>
      </right>
      <top style="thin">
        <color theme="1"/>
      </top>
      <bottom/>
      <diagonal/>
    </border>
    <border>
      <left style="thin">
        <color theme="1"/>
      </left>
      <right/>
      <top style="thin">
        <color theme="1"/>
      </top>
      <bottom style="medium">
        <color theme="1"/>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top/>
      <bottom/>
      <diagonal/>
    </border>
    <border>
      <left style="thin">
        <color indexed="64"/>
      </left>
      <right style="thin">
        <color indexed="64"/>
      </right>
      <top style="thin">
        <color indexed="64"/>
      </top>
      <bottom style="thin">
        <color indexed="64"/>
      </bottom>
      <diagonal/>
    </border>
    <border>
      <left/>
      <right/>
      <top style="thin">
        <color theme="1"/>
      </top>
      <bottom/>
      <diagonal/>
    </border>
    <border>
      <left/>
      <right/>
      <top style="thin">
        <color theme="1"/>
      </top>
      <bottom style="medium">
        <color theme="1"/>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theme="1"/>
      </left>
      <right style="thin">
        <color theme="1"/>
      </right>
      <top/>
      <bottom/>
      <diagonal/>
    </border>
    <border>
      <left style="medium">
        <color indexed="64"/>
      </left>
      <right style="medium">
        <color theme="0" tint="-0.14996795556505021"/>
      </right>
      <top/>
      <bottom style="medium">
        <color indexed="64"/>
      </bottom>
      <diagonal/>
    </border>
    <border>
      <left style="medium">
        <color theme="0" tint="-0.14996795556505021"/>
      </left>
      <right style="medium">
        <color theme="0" tint="-0.14996795556505021"/>
      </right>
      <top/>
      <bottom style="medium">
        <color indexed="64"/>
      </bottom>
      <diagonal/>
    </border>
    <border>
      <left style="medium">
        <color theme="0" tint="-0.14996795556505021"/>
      </left>
      <right/>
      <top/>
      <bottom style="medium">
        <color indexed="64"/>
      </bottom>
      <diagonal/>
    </border>
    <border>
      <left style="medium">
        <color theme="0" tint="-0.14996795556505021"/>
      </left>
      <right style="medium">
        <color indexed="64"/>
      </right>
      <top/>
      <bottom style="medium">
        <color indexed="64"/>
      </bottom>
      <diagonal/>
    </border>
    <border>
      <left style="medium">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thin">
        <color rgb="FF000000"/>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3">
    <xf numFmtId="0" fontId="0" fillId="0" borderId="0"/>
    <xf numFmtId="0" fontId="1" fillId="0" borderId="0" applyNumberFormat="0" applyFill="0" applyBorder="0" applyAlignment="0" applyProtection="0"/>
    <xf numFmtId="0" fontId="30" fillId="0" borderId="0"/>
  </cellStyleXfs>
  <cellXfs count="433">
    <xf numFmtId="0" fontId="0" fillId="0" borderId="0" xfId="0"/>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wrapText="1"/>
    </xf>
    <xf numFmtId="164" fontId="0" fillId="0" borderId="0" xfId="0" applyNumberFormat="1"/>
    <xf numFmtId="0" fontId="5" fillId="27" borderId="2" xfId="1" applyFont="1" applyFill="1" applyBorder="1"/>
    <xf numFmtId="0" fontId="0" fillId="27" borderId="3" xfId="0" applyFill="1" applyBorder="1"/>
    <xf numFmtId="0" fontId="5" fillId="29" borderId="2" xfId="1" applyFont="1" applyFill="1" applyBorder="1"/>
    <xf numFmtId="0" fontId="0" fillId="29" borderId="3" xfId="0" applyFill="1" applyBorder="1"/>
    <xf numFmtId="0" fontId="5" fillId="25" borderId="2" xfId="1" applyFont="1" applyFill="1" applyBorder="1"/>
    <xf numFmtId="0" fontId="0" fillId="25" borderId="3" xfId="0" applyFill="1" applyBorder="1"/>
    <xf numFmtId="0" fontId="4" fillId="24" borderId="2" xfId="0" applyFont="1" applyFill="1" applyBorder="1"/>
    <xf numFmtId="0" fontId="0" fillId="24" borderId="3" xfId="0" applyFill="1" applyBorder="1"/>
    <xf numFmtId="0" fontId="11" fillId="26" borderId="2" xfId="0" applyFont="1" applyFill="1" applyBorder="1"/>
    <xf numFmtId="0" fontId="3" fillId="26" borderId="3" xfId="0" applyFont="1" applyFill="1" applyBorder="1"/>
    <xf numFmtId="0" fontId="3" fillId="26" borderId="4" xfId="0" applyFont="1" applyFill="1" applyBorder="1"/>
    <xf numFmtId="0" fontId="4" fillId="20" borderId="2" xfId="0" applyFont="1" applyFill="1" applyBorder="1"/>
    <xf numFmtId="0" fontId="0" fillId="20" borderId="3" xfId="0" applyFill="1" applyBorder="1"/>
    <xf numFmtId="0" fontId="0" fillId="20" borderId="4" xfId="0" applyFill="1" applyBorder="1"/>
    <xf numFmtId="0" fontId="5" fillId="30" borderId="2" xfId="1" applyFont="1" applyFill="1" applyBorder="1"/>
    <xf numFmtId="0" fontId="0" fillId="30" borderId="3" xfId="0" applyFill="1" applyBorder="1"/>
    <xf numFmtId="0" fontId="0" fillId="30" borderId="4" xfId="0" applyFill="1" applyBorder="1"/>
    <xf numFmtId="0" fontId="5" fillId="22" borderId="2" xfId="1" applyFont="1" applyFill="1" applyBorder="1"/>
    <xf numFmtId="0" fontId="0" fillId="22" borderId="3" xfId="0" applyFill="1" applyBorder="1"/>
    <xf numFmtId="0" fontId="0" fillId="22" borderId="4" xfId="0" applyFill="1" applyBorder="1"/>
    <xf numFmtId="0" fontId="0" fillId="21" borderId="3" xfId="0" applyFill="1" applyBorder="1"/>
    <xf numFmtId="0" fontId="0" fillId="21" borderId="4" xfId="0" applyFill="1" applyBorder="1"/>
    <xf numFmtId="0" fontId="5" fillId="19" borderId="2" xfId="1" applyFont="1" applyFill="1" applyBorder="1"/>
    <xf numFmtId="0" fontId="0" fillId="19" borderId="4" xfId="0" applyFill="1" applyBorder="1"/>
    <xf numFmtId="0" fontId="4" fillId="18" borderId="2" xfId="0" applyFont="1" applyFill="1" applyBorder="1"/>
    <xf numFmtId="0" fontId="0" fillId="18" borderId="4" xfId="0" applyFill="1" applyBorder="1"/>
    <xf numFmtId="0" fontId="4" fillId="12" borderId="2" xfId="0" applyFont="1" applyFill="1" applyBorder="1"/>
    <xf numFmtId="0" fontId="0" fillId="12" borderId="3" xfId="0" applyFill="1" applyBorder="1"/>
    <xf numFmtId="0" fontId="0" fillId="12" borderId="4" xfId="0" applyFill="1" applyBorder="1"/>
    <xf numFmtId="0" fontId="5" fillId="16" borderId="2" xfId="1" applyFont="1" applyFill="1" applyBorder="1"/>
    <xf numFmtId="0" fontId="0" fillId="16" borderId="3" xfId="0" applyFill="1" applyBorder="1"/>
    <xf numFmtId="0" fontId="5" fillId="15" borderId="2" xfId="1" applyFont="1" applyFill="1" applyBorder="1"/>
    <xf numFmtId="0" fontId="5" fillId="15" borderId="3" xfId="1" applyFont="1" applyFill="1" applyBorder="1"/>
    <xf numFmtId="0" fontId="5" fillId="13" borderId="8" xfId="1" applyFont="1" applyFill="1" applyBorder="1"/>
    <xf numFmtId="0" fontId="6" fillId="11" borderId="9" xfId="1" applyFont="1" applyFill="1" applyBorder="1"/>
    <xf numFmtId="0" fontId="0" fillId="11" borderId="1" xfId="0" applyFill="1" applyBorder="1"/>
    <xf numFmtId="0" fontId="0" fillId="11" borderId="10" xfId="0" applyFill="1" applyBorder="1"/>
    <xf numFmtId="0" fontId="4" fillId="7" borderId="2" xfId="0" applyFont="1" applyFill="1" applyBorder="1"/>
    <xf numFmtId="0" fontId="0" fillId="7" borderId="3" xfId="0" applyFill="1" applyBorder="1"/>
    <xf numFmtId="0" fontId="0" fillId="7" borderId="4" xfId="0" applyFill="1" applyBorder="1"/>
    <xf numFmtId="0" fontId="5" fillId="10" borderId="2" xfId="1" applyFont="1" applyFill="1" applyBorder="1"/>
    <xf numFmtId="0" fontId="0" fillId="10" borderId="3" xfId="0" applyFill="1" applyBorder="1"/>
    <xf numFmtId="0" fontId="0" fillId="10" borderId="4" xfId="0" applyFill="1" applyBorder="1"/>
    <xf numFmtId="0" fontId="5" fillId="9" borderId="2" xfId="1" applyFont="1" applyFill="1" applyBorder="1"/>
    <xf numFmtId="0" fontId="0" fillId="9" borderId="3" xfId="0" applyFill="1" applyBorder="1"/>
    <xf numFmtId="0" fontId="0" fillId="9" borderId="4" xfId="0" applyFill="1" applyBorder="1"/>
    <xf numFmtId="0" fontId="5" fillId="8" borderId="2" xfId="1" applyFont="1" applyFill="1" applyBorder="1"/>
    <xf numFmtId="0" fontId="0" fillId="8" borderId="3" xfId="0" applyFill="1" applyBorder="1"/>
    <xf numFmtId="0" fontId="0" fillId="8" borderId="4" xfId="0" applyFill="1" applyBorder="1"/>
    <xf numFmtId="0" fontId="4" fillId="5" borderId="2" xfId="0" applyFont="1" applyFill="1" applyBorder="1"/>
    <xf numFmtId="0" fontId="0" fillId="5" borderId="3" xfId="0" applyFill="1" applyBorder="1"/>
    <xf numFmtId="0" fontId="0" fillId="5" borderId="4" xfId="0" applyFill="1" applyBorder="1"/>
    <xf numFmtId="0" fontId="5" fillId="6" borderId="2" xfId="1" applyFont="1" applyFill="1" applyBorder="1"/>
    <xf numFmtId="0" fontId="0" fillId="6" borderId="3" xfId="0" applyFill="1" applyBorder="1"/>
    <xf numFmtId="0" fontId="0" fillId="6" borderId="4" xfId="0" applyFill="1" applyBorder="1"/>
    <xf numFmtId="0" fontId="5" fillId="4" borderId="9" xfId="1" applyFont="1" applyFill="1" applyBorder="1"/>
    <xf numFmtId="0" fontId="0" fillId="4" borderId="10" xfId="0" applyFill="1" applyBorder="1"/>
    <xf numFmtId="0" fontId="4" fillId="2" borderId="2" xfId="0" applyFont="1" applyFill="1" applyBorder="1"/>
    <xf numFmtId="0" fontId="0" fillId="2" borderId="3" xfId="0" applyFill="1" applyBorder="1"/>
    <xf numFmtId="0" fontId="5" fillId="3" borderId="2" xfId="1" applyFont="1" applyFill="1" applyBorder="1"/>
    <xf numFmtId="0" fontId="0" fillId="3" borderId="3" xfId="0" applyFill="1" applyBorder="1"/>
    <xf numFmtId="0" fontId="0" fillId="3" borderId="0" xfId="0" applyFill="1" applyAlignment="1">
      <alignment horizontal="center" vertical="center"/>
    </xf>
    <xf numFmtId="0" fontId="0" fillId="3"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5" xfId="0" applyFill="1" applyBorder="1" applyAlignment="1">
      <alignment horizontal="center" vertical="center"/>
    </xf>
    <xf numFmtId="164" fontId="0" fillId="6" borderId="5" xfId="0" applyNumberFormat="1" applyFill="1" applyBorder="1" applyAlignment="1">
      <alignment horizontal="center" vertical="center"/>
    </xf>
    <xf numFmtId="0" fontId="0" fillId="6" borderId="6" xfId="0" applyFill="1" applyBorder="1" applyAlignment="1">
      <alignment horizontal="center" vertical="center" wrapText="1"/>
    </xf>
    <xf numFmtId="0" fontId="0" fillId="8" borderId="5" xfId="0" applyFill="1" applyBorder="1" applyAlignment="1">
      <alignment horizontal="center" vertical="center"/>
    </xf>
    <xf numFmtId="0" fontId="0" fillId="9" borderId="5" xfId="0" applyFill="1" applyBorder="1" applyAlignment="1">
      <alignment horizontal="center" vertical="center"/>
    </xf>
    <xf numFmtId="0" fontId="0" fillId="10" borderId="5" xfId="0" applyFill="1" applyBorder="1" applyAlignment="1">
      <alignment horizontal="center" vertical="center"/>
    </xf>
    <xf numFmtId="0" fontId="3" fillId="11" borderId="5" xfId="0" applyFont="1" applyFill="1" applyBorder="1" applyAlignment="1">
      <alignment horizontal="center" vertical="center" wrapText="1"/>
    </xf>
    <xf numFmtId="0" fontId="3" fillId="11" borderId="5" xfId="0" applyFont="1" applyFill="1" applyBorder="1" applyAlignment="1">
      <alignment horizontal="center" vertical="center"/>
    </xf>
    <xf numFmtId="0" fontId="10" fillId="13" borderId="5" xfId="0" applyFont="1" applyFill="1" applyBorder="1" applyAlignment="1">
      <alignment horizontal="center" vertical="center" wrapText="1"/>
    </xf>
    <xf numFmtId="0" fontId="10" fillId="15" borderId="5" xfId="0" applyFont="1" applyFill="1" applyBorder="1" applyAlignment="1">
      <alignment horizontal="center" vertical="center"/>
    </xf>
    <xf numFmtId="0" fontId="10" fillId="16" borderId="5" xfId="0" applyFont="1" applyFill="1" applyBorder="1" applyAlignment="1">
      <alignment horizontal="center" vertical="center"/>
    </xf>
    <xf numFmtId="0" fontId="10" fillId="17" borderId="5" xfId="0" applyFont="1" applyFill="1" applyBorder="1" applyAlignment="1">
      <alignment horizontal="center" vertical="center"/>
    </xf>
    <xf numFmtId="0" fontId="10" fillId="19" borderId="5" xfId="0" applyFont="1" applyFill="1" applyBorder="1" applyAlignment="1">
      <alignment horizontal="center" vertical="center"/>
    </xf>
    <xf numFmtId="164" fontId="0" fillId="21" borderId="5" xfId="0" applyNumberFormat="1" applyFill="1" applyBorder="1" applyAlignment="1">
      <alignment horizontal="center" vertical="center"/>
    </xf>
    <xf numFmtId="0" fontId="0" fillId="21" borderId="5" xfId="0" applyFill="1" applyBorder="1" applyAlignment="1">
      <alignment horizontal="center" vertical="center"/>
    </xf>
    <xf numFmtId="0" fontId="0" fillId="22" borderId="5" xfId="0" applyFill="1" applyBorder="1" applyAlignment="1">
      <alignment horizontal="center" vertical="center"/>
    </xf>
    <xf numFmtId="0" fontId="0" fillId="23" borderId="5" xfId="0" applyFill="1" applyBorder="1" applyAlignment="1">
      <alignment horizontal="center" vertical="center"/>
    </xf>
    <xf numFmtId="0" fontId="0" fillId="30" borderId="5" xfId="0" applyFill="1" applyBorder="1" applyAlignment="1">
      <alignment horizontal="center" vertical="center"/>
    </xf>
    <xf numFmtId="0" fontId="0" fillId="25" borderId="5" xfId="0" applyFill="1" applyBorder="1" applyAlignment="1">
      <alignment horizontal="center" vertical="center"/>
    </xf>
    <xf numFmtId="164" fontId="0" fillId="25" borderId="5" xfId="0" applyNumberFormat="1" applyFill="1" applyBorder="1" applyAlignment="1">
      <alignment horizontal="center" vertical="center"/>
    </xf>
    <xf numFmtId="0" fontId="0" fillId="6" borderId="0" xfId="0" applyFill="1" applyAlignment="1">
      <alignment horizontal="center" vertical="center"/>
    </xf>
    <xf numFmtId="0" fontId="0" fillId="6" borderId="0" xfId="0" applyFill="1" applyAlignment="1">
      <alignment horizontal="center" vertical="center" wrapText="1"/>
    </xf>
    <xf numFmtId="0" fontId="0" fillId="8" borderId="0" xfId="0" applyFill="1" applyAlignment="1">
      <alignment horizontal="center" vertical="center"/>
    </xf>
    <xf numFmtId="0" fontId="0" fillId="9" borderId="7" xfId="0" applyFill="1" applyBorder="1" applyAlignment="1">
      <alignment horizontal="center" vertical="center"/>
    </xf>
    <xf numFmtId="0" fontId="0" fillId="10" borderId="7" xfId="0" applyFill="1" applyBorder="1" applyAlignment="1">
      <alignment horizontal="center" vertical="center"/>
    </xf>
    <xf numFmtId="0" fontId="3" fillId="11" borderId="7" xfId="0" applyFont="1" applyFill="1" applyBorder="1" applyAlignment="1">
      <alignment horizontal="center" vertical="center" wrapText="1"/>
    </xf>
    <xf numFmtId="0" fontId="3" fillId="11" borderId="7" xfId="0" applyFont="1" applyFill="1" applyBorder="1" applyAlignment="1">
      <alignment horizontal="center" vertical="center"/>
    </xf>
    <xf numFmtId="0" fontId="10" fillId="13" borderId="7" xfId="0" applyFont="1" applyFill="1" applyBorder="1" applyAlignment="1">
      <alignment horizontal="center" vertical="center" wrapText="1"/>
    </xf>
    <xf numFmtId="0" fontId="10" fillId="15" borderId="7" xfId="0" applyFont="1" applyFill="1" applyBorder="1" applyAlignment="1">
      <alignment horizontal="center" vertical="center"/>
    </xf>
    <xf numFmtId="0" fontId="10" fillId="16" borderId="7" xfId="0" applyFont="1" applyFill="1" applyBorder="1" applyAlignment="1">
      <alignment horizontal="center" vertical="center"/>
    </xf>
    <xf numFmtId="0" fontId="10" fillId="17" borderId="7" xfId="0" applyFont="1" applyFill="1" applyBorder="1" applyAlignment="1">
      <alignment horizontal="center" vertical="center"/>
    </xf>
    <xf numFmtId="0" fontId="10" fillId="19" borderId="7" xfId="0" applyFont="1" applyFill="1" applyBorder="1" applyAlignment="1">
      <alignment horizontal="center" vertical="center"/>
    </xf>
    <xf numFmtId="164" fontId="0" fillId="21" borderId="7" xfId="0" applyNumberFormat="1" applyFill="1" applyBorder="1" applyAlignment="1">
      <alignment horizontal="center" vertical="center"/>
    </xf>
    <xf numFmtId="0" fontId="0" fillId="21" borderId="7" xfId="0" applyFill="1" applyBorder="1" applyAlignment="1">
      <alignment horizontal="center" vertical="center"/>
    </xf>
    <xf numFmtId="0" fontId="0" fillId="22" borderId="7" xfId="0" applyFill="1" applyBorder="1" applyAlignment="1">
      <alignment horizontal="center" vertical="center"/>
    </xf>
    <xf numFmtId="0" fontId="0" fillId="23" borderId="7" xfId="0" applyFill="1" applyBorder="1" applyAlignment="1">
      <alignment horizontal="center" vertical="center"/>
    </xf>
    <xf numFmtId="0" fontId="0" fillId="30" borderId="7" xfId="0" applyFill="1" applyBorder="1" applyAlignment="1">
      <alignment horizontal="center" vertical="center"/>
    </xf>
    <xf numFmtId="0" fontId="0" fillId="25" borderId="7" xfId="0" applyFill="1" applyBorder="1" applyAlignment="1">
      <alignment horizontal="center" vertical="center"/>
    </xf>
    <xf numFmtId="164" fontId="0" fillId="25" borderId="7" xfId="0" applyNumberFormat="1" applyFill="1" applyBorder="1" applyAlignment="1">
      <alignment horizontal="center" vertical="center"/>
    </xf>
    <xf numFmtId="164" fontId="0" fillId="8" borderId="5" xfId="0" applyNumberFormat="1" applyFill="1" applyBorder="1" applyAlignment="1">
      <alignment horizontal="center" vertical="center"/>
    </xf>
    <xf numFmtId="164" fontId="0" fillId="8" borderId="0" xfId="0" applyNumberFormat="1" applyFill="1" applyAlignment="1">
      <alignment horizontal="center" vertical="center"/>
    </xf>
    <xf numFmtId="0" fontId="0" fillId="6" borderId="5" xfId="0" applyFill="1" applyBorder="1" applyAlignment="1">
      <alignment horizontal="center" vertical="center" wrapText="1"/>
    </xf>
    <xf numFmtId="0" fontId="10" fillId="15" borderId="5" xfId="0" applyFont="1" applyFill="1" applyBorder="1" applyAlignment="1">
      <alignment horizontal="center" vertical="center" wrapText="1"/>
    </xf>
    <xf numFmtId="0" fontId="10" fillId="15" borderId="7" xfId="0" applyFont="1" applyFill="1" applyBorder="1" applyAlignment="1">
      <alignment horizontal="center" vertical="center" wrapText="1"/>
    </xf>
    <xf numFmtId="0" fontId="5" fillId="17" borderId="2" xfId="1" applyFont="1" applyFill="1" applyBorder="1"/>
    <xf numFmtId="0" fontId="5" fillId="21" borderId="3" xfId="1" applyFont="1" applyFill="1" applyBorder="1"/>
    <xf numFmtId="0" fontId="0" fillId="19" borderId="3" xfId="0" applyFill="1" applyBorder="1"/>
    <xf numFmtId="0" fontId="0" fillId="18" borderId="3" xfId="0" applyFill="1" applyBorder="1"/>
    <xf numFmtId="0" fontId="8" fillId="22" borderId="2" xfId="0" applyFont="1" applyFill="1" applyBorder="1"/>
    <xf numFmtId="0" fontId="5" fillId="28" borderId="2" xfId="1" applyFont="1" applyFill="1" applyBorder="1"/>
    <xf numFmtId="0" fontId="0" fillId="28" borderId="3" xfId="0" applyFill="1" applyBorder="1"/>
    <xf numFmtId="0" fontId="0" fillId="28" borderId="4" xfId="0" applyFill="1" applyBorder="1"/>
    <xf numFmtId="49" fontId="0" fillId="3" borderId="0" xfId="0" quotePrefix="1" applyNumberFormat="1" applyFill="1" applyAlignment="1">
      <alignment horizontal="center" vertical="center"/>
    </xf>
    <xf numFmtId="49" fontId="0" fillId="3" borderId="0" xfId="0" applyNumberFormat="1" applyFill="1" applyAlignment="1">
      <alignment horizontal="center" vertical="center" wrapText="1"/>
    </xf>
    <xf numFmtId="49" fontId="0" fillId="3" borderId="0" xfId="0" applyNumberFormat="1" applyFill="1" applyAlignment="1">
      <alignment horizontal="center" vertical="center"/>
    </xf>
    <xf numFmtId="0" fontId="0" fillId="2" borderId="3" xfId="0" applyFill="1" applyBorder="1" applyAlignment="1">
      <alignment wrapText="1"/>
    </xf>
    <xf numFmtId="0" fontId="0" fillId="4" borderId="1" xfId="0" applyFill="1" applyBorder="1" applyAlignment="1">
      <alignment wrapText="1"/>
    </xf>
    <xf numFmtId="0" fontId="0" fillId="33" borderId="0" xfId="0" applyFill="1" applyAlignment="1">
      <alignment horizontal="center" vertical="center" wrapText="1"/>
    </xf>
    <xf numFmtId="0" fontId="6" fillId="34" borderId="9" xfId="1" applyFont="1" applyFill="1" applyBorder="1"/>
    <xf numFmtId="0" fontId="3" fillId="34" borderId="0" xfId="0" applyFont="1" applyFill="1" applyAlignment="1">
      <alignment horizontal="center" vertical="center" wrapText="1"/>
    </xf>
    <xf numFmtId="0" fontId="0" fillId="33" borderId="5" xfId="0" applyFill="1" applyBorder="1" applyAlignment="1">
      <alignment horizontal="center" vertical="center"/>
    </xf>
    <xf numFmtId="0" fontId="0" fillId="33" borderId="7" xfId="0" applyFill="1" applyBorder="1" applyAlignment="1">
      <alignment horizontal="center" vertical="center"/>
    </xf>
    <xf numFmtId="0" fontId="3" fillId="33" borderId="5" xfId="0" applyFont="1" applyFill="1" applyBorder="1" applyAlignment="1">
      <alignment horizontal="center" vertical="center" wrapText="1"/>
    </xf>
    <xf numFmtId="0" fontId="3" fillId="33" borderId="7" xfId="0" applyFont="1" applyFill="1" applyBorder="1" applyAlignment="1">
      <alignment horizontal="center" vertical="center" wrapText="1"/>
    </xf>
    <xf numFmtId="0" fontId="0" fillId="6" borderId="13" xfId="0" applyFill="1" applyBorder="1" applyAlignment="1">
      <alignment horizontal="center" vertical="center"/>
    </xf>
    <xf numFmtId="0" fontId="0" fillId="6" borderId="12" xfId="0" applyFill="1" applyBorder="1" applyAlignment="1">
      <alignment horizontal="center" vertical="center"/>
    </xf>
    <xf numFmtId="0" fontId="14" fillId="5" borderId="0" xfId="0" applyFont="1" applyFill="1" applyAlignment="1">
      <alignment horizontal="center" vertical="center"/>
    </xf>
    <xf numFmtId="0" fontId="0" fillId="9" borderId="13" xfId="0" applyFill="1" applyBorder="1" applyAlignment="1">
      <alignment horizontal="center" vertical="center"/>
    </xf>
    <xf numFmtId="0" fontId="0" fillId="9" borderId="14" xfId="0" applyFill="1" applyBorder="1" applyAlignment="1">
      <alignment horizontal="center" vertical="center"/>
    </xf>
    <xf numFmtId="0" fontId="0" fillId="8" borderId="12" xfId="0" applyFill="1" applyBorder="1" applyAlignment="1">
      <alignment horizontal="center" vertical="center"/>
    </xf>
    <xf numFmtId="0" fontId="0" fillId="8" borderId="15" xfId="0" applyFill="1" applyBorder="1" applyAlignment="1">
      <alignment horizontal="center" vertical="center"/>
    </xf>
    <xf numFmtId="0" fontId="10" fillId="33" borderId="5" xfId="0" applyFont="1" applyFill="1" applyBorder="1" applyAlignment="1">
      <alignment horizontal="center" vertical="center"/>
    </xf>
    <xf numFmtId="0" fontId="10" fillId="33" borderId="7" xfId="0" applyFont="1" applyFill="1" applyBorder="1" applyAlignment="1">
      <alignment horizontal="center" vertical="center"/>
    </xf>
    <xf numFmtId="0" fontId="10" fillId="16" borderId="13" xfId="0" applyFont="1" applyFill="1" applyBorder="1" applyAlignment="1">
      <alignment horizontal="center" vertical="center"/>
    </xf>
    <xf numFmtId="0" fontId="10" fillId="16" borderId="11" xfId="0" applyFont="1" applyFill="1" applyBorder="1" applyAlignment="1">
      <alignment horizontal="center" vertical="center" wrapText="1"/>
    </xf>
    <xf numFmtId="0" fontId="10" fillId="16" borderId="12" xfId="0" applyFont="1" applyFill="1" applyBorder="1" applyAlignment="1">
      <alignment horizontal="center" vertical="center" wrapText="1"/>
    </xf>
    <xf numFmtId="0" fontId="0" fillId="33" borderId="5" xfId="0" applyFill="1" applyBorder="1" applyAlignment="1">
      <alignment horizontal="center" vertical="center" wrapText="1"/>
    </xf>
    <xf numFmtId="0" fontId="0" fillId="33" borderId="7" xfId="0" applyFill="1" applyBorder="1" applyAlignment="1">
      <alignment horizontal="center" vertical="center" wrapText="1"/>
    </xf>
    <xf numFmtId="0" fontId="0" fillId="6" borderId="16" xfId="0" applyFill="1" applyBorder="1" applyAlignment="1">
      <alignment horizontal="center" vertical="center"/>
    </xf>
    <xf numFmtId="0" fontId="0" fillId="6" borderId="11" xfId="0" applyFill="1" applyBorder="1" applyAlignment="1">
      <alignment horizontal="center" vertical="center"/>
    </xf>
    <xf numFmtId="164" fontId="0" fillId="6" borderId="11" xfId="0" applyNumberFormat="1" applyFill="1" applyBorder="1" applyAlignment="1">
      <alignment horizontal="center" vertical="center"/>
    </xf>
    <xf numFmtId="0" fontId="0" fillId="6" borderId="11" xfId="0" applyFill="1" applyBorder="1" applyAlignment="1">
      <alignment horizontal="center" vertical="center" wrapText="1"/>
    </xf>
    <xf numFmtId="0" fontId="0" fillId="6" borderId="17" xfId="0" applyFill="1" applyBorder="1" applyAlignment="1">
      <alignment horizontal="center" vertical="center" wrapText="1"/>
    </xf>
    <xf numFmtId="0" fontId="0" fillId="8" borderId="11" xfId="0" applyFill="1" applyBorder="1" applyAlignment="1">
      <alignment horizontal="center" vertical="center"/>
    </xf>
    <xf numFmtId="164" fontId="0" fillId="8" borderId="11" xfId="0" applyNumberFormat="1" applyFill="1" applyBorder="1" applyAlignment="1">
      <alignment horizontal="center" vertical="center"/>
    </xf>
    <xf numFmtId="0" fontId="0" fillId="8" borderId="16" xfId="0" applyFill="1" applyBorder="1" applyAlignment="1">
      <alignment horizontal="center" vertical="center"/>
    </xf>
    <xf numFmtId="0" fontId="0" fillId="9" borderId="0" xfId="0" applyFill="1" applyAlignment="1">
      <alignment horizontal="center" vertical="center"/>
    </xf>
    <xf numFmtId="0" fontId="0" fillId="9" borderId="11" xfId="0" applyFill="1" applyBorder="1" applyAlignment="1">
      <alignment horizontal="center" vertical="center"/>
    </xf>
    <xf numFmtId="0" fontId="0" fillId="10" borderId="11" xfId="0" applyFill="1" applyBorder="1" applyAlignment="1">
      <alignment horizontal="center" vertical="center"/>
    </xf>
    <xf numFmtId="0" fontId="0" fillId="33" borderId="11" xfId="0" applyFill="1" applyBorder="1" applyAlignment="1">
      <alignment horizontal="center" vertical="center"/>
    </xf>
    <xf numFmtId="0" fontId="3" fillId="11" borderId="11" xfId="0" applyFont="1" applyFill="1" applyBorder="1" applyAlignment="1">
      <alignment horizontal="center" vertical="center" wrapText="1"/>
    </xf>
    <xf numFmtId="0" fontId="3" fillId="11" borderId="11" xfId="0" applyFont="1" applyFill="1" applyBorder="1" applyAlignment="1">
      <alignment horizontal="center" vertical="center"/>
    </xf>
    <xf numFmtId="0" fontId="3" fillId="33" borderId="11" xfId="0" applyFont="1" applyFill="1" applyBorder="1" applyAlignment="1">
      <alignment horizontal="center" vertical="center" wrapText="1"/>
    </xf>
    <xf numFmtId="0" fontId="10" fillId="13" borderId="11" xfId="0" applyFont="1" applyFill="1" applyBorder="1" applyAlignment="1">
      <alignment horizontal="center" vertical="center" wrapText="1"/>
    </xf>
    <xf numFmtId="0" fontId="10" fillId="15" borderId="11" xfId="0" applyFont="1" applyFill="1" applyBorder="1" applyAlignment="1">
      <alignment horizontal="center" vertical="center" wrapText="1"/>
    </xf>
    <xf numFmtId="0" fontId="10" fillId="15" borderId="11" xfId="0" applyFont="1" applyFill="1" applyBorder="1" applyAlignment="1">
      <alignment horizontal="center" vertical="center"/>
    </xf>
    <xf numFmtId="0" fontId="10" fillId="33" borderId="11" xfId="0" applyFont="1" applyFill="1" applyBorder="1" applyAlignment="1">
      <alignment horizontal="center" vertical="center"/>
    </xf>
    <xf numFmtId="0" fontId="10" fillId="16" borderId="11" xfId="0" applyFont="1" applyFill="1" applyBorder="1" applyAlignment="1">
      <alignment horizontal="center" vertical="center"/>
    </xf>
    <xf numFmtId="0" fontId="10" fillId="17" borderId="11" xfId="0" applyFont="1" applyFill="1" applyBorder="1" applyAlignment="1">
      <alignment horizontal="center" vertical="center"/>
    </xf>
    <xf numFmtId="0" fontId="10" fillId="19" borderId="11" xfId="0" applyFont="1" applyFill="1" applyBorder="1" applyAlignment="1">
      <alignment horizontal="center" vertical="center"/>
    </xf>
    <xf numFmtId="164" fontId="0" fillId="21" borderId="11" xfId="0" applyNumberFormat="1" applyFill="1" applyBorder="1" applyAlignment="1">
      <alignment horizontal="center" vertical="center"/>
    </xf>
    <xf numFmtId="0" fontId="0" fillId="21" borderId="11" xfId="0" applyFill="1" applyBorder="1" applyAlignment="1">
      <alignment horizontal="center" vertical="center"/>
    </xf>
    <xf numFmtId="0" fontId="0" fillId="22" borderId="11" xfId="0" applyFill="1" applyBorder="1" applyAlignment="1">
      <alignment horizontal="center" vertical="center"/>
    </xf>
    <xf numFmtId="0" fontId="0" fillId="23" borderId="11" xfId="0" applyFill="1" applyBorder="1" applyAlignment="1">
      <alignment horizontal="center" vertical="center"/>
    </xf>
    <xf numFmtId="0" fontId="0" fillId="30" borderId="11" xfId="0" applyFill="1" applyBorder="1" applyAlignment="1">
      <alignment horizontal="center" vertical="center"/>
    </xf>
    <xf numFmtId="0" fontId="0" fillId="33" borderId="11" xfId="0" applyFill="1" applyBorder="1" applyAlignment="1">
      <alignment horizontal="center" vertical="center" wrapText="1"/>
    </xf>
    <xf numFmtId="0" fontId="0" fillId="25" borderId="11" xfId="0" applyFill="1" applyBorder="1" applyAlignment="1">
      <alignment horizontal="center" vertical="center"/>
    </xf>
    <xf numFmtId="164" fontId="0" fillId="25" borderId="11" xfId="0" applyNumberFormat="1" applyFill="1" applyBorder="1" applyAlignment="1">
      <alignment horizontal="center" vertical="center"/>
    </xf>
    <xf numFmtId="0" fontId="0" fillId="29" borderId="11" xfId="0" applyFill="1" applyBorder="1" applyAlignment="1">
      <alignment horizontal="center" vertical="center"/>
    </xf>
    <xf numFmtId="164" fontId="0" fillId="29" borderId="11" xfId="0" applyNumberFormat="1" applyFill="1" applyBorder="1" applyAlignment="1">
      <alignment horizontal="center" vertical="center"/>
    </xf>
    <xf numFmtId="0" fontId="0" fillId="27" borderId="11" xfId="0" applyFill="1" applyBorder="1" applyAlignment="1">
      <alignment horizontal="center" vertical="center"/>
    </xf>
    <xf numFmtId="0" fontId="0" fillId="28" borderId="11" xfId="0" applyFill="1" applyBorder="1" applyAlignment="1">
      <alignment horizontal="center" vertical="center"/>
    </xf>
    <xf numFmtId="0" fontId="0" fillId="28" borderId="17" xfId="0" applyFill="1" applyBorder="1" applyAlignment="1">
      <alignment horizontal="left" vertical="center" wrapText="1"/>
    </xf>
    <xf numFmtId="0" fontId="0" fillId="28" borderId="17" xfId="0" applyFill="1" applyBorder="1" applyAlignment="1">
      <alignment horizontal="center" vertical="center" wrapText="1"/>
    </xf>
    <xf numFmtId="0" fontId="0" fillId="22" borderId="0" xfId="0" applyFill="1"/>
    <xf numFmtId="0" fontId="0" fillId="0" borderId="18" xfId="0" applyBorder="1" applyAlignment="1">
      <alignment horizontal="center" vertical="center" wrapText="1"/>
    </xf>
    <xf numFmtId="0" fontId="14" fillId="5" borderId="1" xfId="0" applyFont="1" applyFill="1" applyBorder="1" applyAlignment="1">
      <alignment horizontal="center" vertical="center"/>
    </xf>
    <xf numFmtId="0" fontId="15" fillId="31" borderId="19" xfId="0" applyFont="1" applyFill="1" applyBorder="1" applyAlignment="1">
      <alignment horizontal="center" vertical="center" wrapText="1"/>
    </xf>
    <xf numFmtId="0" fontId="14" fillId="5" borderId="1" xfId="0" applyFont="1" applyFill="1" applyBorder="1" applyAlignment="1">
      <alignment horizontal="center" vertical="center" wrapText="1"/>
    </xf>
    <xf numFmtId="0" fontId="15" fillId="0" borderId="19" xfId="0" applyFont="1"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16" fillId="14" borderId="20" xfId="0" applyFont="1" applyFill="1" applyBorder="1" applyAlignment="1">
      <alignment horizontal="center" vertical="center" wrapText="1"/>
    </xf>
    <xf numFmtId="0" fontId="7" fillId="14" borderId="20" xfId="0" applyFont="1" applyFill="1" applyBorder="1" applyAlignment="1">
      <alignment horizontal="center" vertical="center" wrapText="1"/>
    </xf>
    <xf numFmtId="0" fontId="7" fillId="14" borderId="19" xfId="0" applyFont="1" applyFill="1" applyBorder="1" applyAlignment="1">
      <alignment horizontal="center" vertical="center" wrapText="1"/>
    </xf>
    <xf numFmtId="0" fontId="13" fillId="32" borderId="20" xfId="0" applyFont="1" applyFill="1" applyBorder="1" applyAlignment="1">
      <alignment horizontal="center" vertical="center" wrapText="1"/>
    </xf>
    <xf numFmtId="0" fontId="16" fillId="14" borderId="19" xfId="0" applyFont="1" applyFill="1" applyBorder="1" applyAlignment="1">
      <alignment horizontal="center" vertical="center" wrapText="1"/>
    </xf>
    <xf numFmtId="0" fontId="12" fillId="14" borderId="20" xfId="0" applyFont="1" applyFill="1" applyBorder="1" applyAlignment="1">
      <alignment horizontal="center" vertical="center" wrapText="1"/>
    </xf>
    <xf numFmtId="0" fontId="7" fillId="14" borderId="21" xfId="0" applyFont="1" applyFill="1" applyBorder="1" applyAlignment="1">
      <alignment horizontal="center" vertical="center" wrapText="1"/>
    </xf>
    <xf numFmtId="0" fontId="0" fillId="35" borderId="5" xfId="0" applyFill="1" applyBorder="1" applyAlignment="1">
      <alignment horizontal="center" vertical="center"/>
    </xf>
    <xf numFmtId="164" fontId="0" fillId="35" borderId="5" xfId="0" applyNumberFormat="1" applyFill="1" applyBorder="1" applyAlignment="1">
      <alignment horizontal="center" vertical="center"/>
    </xf>
    <xf numFmtId="0" fontId="0" fillId="35" borderId="7" xfId="0" applyFill="1" applyBorder="1" applyAlignment="1">
      <alignment horizontal="center" vertical="center"/>
    </xf>
    <xf numFmtId="164" fontId="0" fillId="35" borderId="7" xfId="0" applyNumberFormat="1" applyFill="1" applyBorder="1" applyAlignment="1">
      <alignment horizontal="center" vertical="center"/>
    </xf>
    <xf numFmtId="0" fontId="0" fillId="35" borderId="0" xfId="0" applyFill="1" applyAlignment="1">
      <alignment horizontal="center" vertical="center"/>
    </xf>
    <xf numFmtId="0" fontId="0" fillId="35" borderId="0" xfId="0" applyFill="1" applyAlignment="1">
      <alignment horizontal="left" vertical="center" wrapText="1"/>
    </xf>
    <xf numFmtId="0" fontId="0" fillId="35" borderId="0" xfId="0" applyFill="1" applyAlignment="1">
      <alignment horizontal="center" vertical="center" wrapText="1"/>
    </xf>
    <xf numFmtId="0" fontId="10" fillId="33" borderId="11" xfId="0" applyFont="1" applyFill="1" applyBorder="1" applyAlignment="1">
      <alignment horizontal="center" vertical="center" wrapText="1"/>
    </xf>
    <xf numFmtId="0" fontId="10" fillId="33" borderId="5" xfId="0" applyFont="1" applyFill="1" applyBorder="1" applyAlignment="1">
      <alignment horizontal="center" vertical="center" wrapText="1"/>
    </xf>
    <xf numFmtId="0" fontId="10" fillId="33" borderId="7" xfId="0" applyFont="1" applyFill="1" applyBorder="1" applyAlignment="1">
      <alignment horizontal="center" vertical="center" wrapText="1"/>
    </xf>
    <xf numFmtId="0" fontId="5" fillId="0" borderId="0" xfId="0" applyFont="1"/>
    <xf numFmtId="0" fontId="0" fillId="0" borderId="0" xfId="0" applyAlignment="1">
      <alignment horizontal="right"/>
    </xf>
    <xf numFmtId="0" fontId="18" fillId="0" borderId="0" xfId="0" applyFont="1"/>
    <xf numFmtId="0" fontId="8" fillId="0" borderId="0" xfId="0" applyFont="1"/>
    <xf numFmtId="0" fontId="19" fillId="0" borderId="0" xfId="0" applyFont="1"/>
    <xf numFmtId="0" fontId="3" fillId="33" borderId="22" xfId="0" applyFont="1" applyFill="1" applyBorder="1" applyAlignment="1">
      <alignment wrapText="1"/>
    </xf>
    <xf numFmtId="165" fontId="3" fillId="33" borderId="23" xfId="0" applyNumberFormat="1" applyFont="1" applyFill="1" applyBorder="1" applyAlignment="1">
      <alignment horizontal="center" textRotation="90"/>
    </xf>
    <xf numFmtId="165" fontId="3" fillId="33" borderId="24" xfId="0" applyNumberFormat="1" applyFont="1" applyFill="1" applyBorder="1" applyAlignment="1">
      <alignment horizontal="center" textRotation="90"/>
    </xf>
    <xf numFmtId="0" fontId="3" fillId="33" borderId="25" xfId="0" applyFont="1" applyFill="1" applyBorder="1" applyAlignment="1">
      <alignment horizontal="center" wrapText="1"/>
    </xf>
    <xf numFmtId="165" fontId="7" fillId="33" borderId="22" xfId="0" applyNumberFormat="1" applyFont="1" applyFill="1" applyBorder="1" applyAlignment="1">
      <alignment horizontal="center" wrapText="1"/>
    </xf>
    <xf numFmtId="165" fontId="7" fillId="33" borderId="24" xfId="0" applyNumberFormat="1" applyFont="1" applyFill="1" applyBorder="1" applyAlignment="1">
      <alignment horizontal="center" wrapText="1"/>
    </xf>
    <xf numFmtId="165" fontId="7" fillId="33" borderId="25" xfId="0" applyNumberFormat="1" applyFont="1" applyFill="1" applyBorder="1" applyAlignment="1">
      <alignment horizontal="center" wrapText="1"/>
    </xf>
    <xf numFmtId="165" fontId="8" fillId="38" borderId="26" xfId="0" applyNumberFormat="1" applyFont="1" applyFill="1" applyBorder="1" applyAlignment="1">
      <alignment horizontal="center" wrapText="1"/>
    </xf>
    <xf numFmtId="0" fontId="0" fillId="39" borderId="27" xfId="0" applyFill="1" applyBorder="1" applyAlignment="1">
      <alignment horizontal="center" vertical="center"/>
    </xf>
    <xf numFmtId="0" fontId="0" fillId="0" borderId="27" xfId="0" applyBorder="1" applyAlignment="1">
      <alignment horizontal="center" vertical="center"/>
    </xf>
    <xf numFmtId="0" fontId="0" fillId="0" borderId="16" xfId="0" applyBorder="1" applyAlignment="1">
      <alignment horizontal="center" vertical="center"/>
    </xf>
    <xf numFmtId="0" fontId="0" fillId="0" borderId="28" xfId="0" applyBorder="1" applyAlignment="1">
      <alignment horizontal="left" vertical="center" wrapText="1"/>
    </xf>
    <xf numFmtId="0" fontId="0" fillId="0" borderId="29" xfId="0" applyBorder="1" applyAlignment="1">
      <alignment horizontal="left" vertical="center" wrapText="1"/>
    </xf>
    <xf numFmtId="0" fontId="0" fillId="0" borderId="12" xfId="0" applyBorder="1" applyAlignment="1">
      <alignment horizontal="center" vertical="center"/>
    </xf>
    <xf numFmtId="0" fontId="0" fillId="39" borderId="12" xfId="0" applyFill="1" applyBorder="1" applyAlignment="1">
      <alignment horizontal="center" vertical="center"/>
    </xf>
    <xf numFmtId="0" fontId="0" fillId="38" borderId="0" xfId="0" applyFill="1"/>
    <xf numFmtId="0" fontId="0" fillId="40" borderId="0" xfId="0" applyFill="1"/>
    <xf numFmtId="0" fontId="0" fillId="9" borderId="0" xfId="0" applyFill="1"/>
    <xf numFmtId="0" fontId="0" fillId="41" borderId="0" xfId="0" applyFill="1"/>
    <xf numFmtId="0" fontId="10" fillId="0" borderId="0" xfId="0" applyFont="1"/>
    <xf numFmtId="0" fontId="8" fillId="0" borderId="0" xfId="0" applyFont="1" applyAlignment="1">
      <alignment horizontal="left" vertical="center" wrapText="1"/>
    </xf>
    <xf numFmtId="0" fontId="20" fillId="0" borderId="0" xfId="0" applyFont="1"/>
    <xf numFmtId="0" fontId="21" fillId="0" borderId="0" xfId="0" applyFont="1"/>
    <xf numFmtId="0" fontId="22" fillId="0" borderId="0" xfId="0" applyFont="1" applyAlignment="1">
      <alignment horizontal="left" vertical="center"/>
    </xf>
    <xf numFmtId="0" fontId="23" fillId="0" borderId="0" xfId="0" applyFont="1"/>
    <xf numFmtId="0" fontId="24" fillId="0" borderId="0" xfId="0" applyFont="1"/>
    <xf numFmtId="0" fontId="25" fillId="0" borderId="0" xfId="0" applyFont="1"/>
    <xf numFmtId="0" fontId="0" fillId="42" borderId="8" xfId="0" applyFill="1" applyBorder="1"/>
    <xf numFmtId="2" fontId="0" fillId="0" borderId="8" xfId="0" applyNumberFormat="1" applyBorder="1"/>
    <xf numFmtId="0" fontId="0" fillId="43" borderId="8" xfId="0" applyFill="1" applyBorder="1"/>
    <xf numFmtId="0" fontId="0" fillId="0" borderId="8" xfId="0" applyBorder="1"/>
    <xf numFmtId="0" fontId="3" fillId="0" borderId="0" xfId="0" applyFont="1" applyAlignment="1">
      <alignment horizontal="right"/>
    </xf>
    <xf numFmtId="0" fontId="3" fillId="0" borderId="0" xfId="0" applyFont="1"/>
    <xf numFmtId="0" fontId="26" fillId="0" borderId="35" xfId="0" applyFont="1" applyBorder="1" applyAlignment="1">
      <alignment horizontal="center" vertical="center" wrapText="1"/>
    </xf>
    <xf numFmtId="0" fontId="26" fillId="0" borderId="36" xfId="0" applyFont="1" applyBorder="1" applyAlignment="1">
      <alignment horizontal="center" vertical="center" wrapText="1"/>
    </xf>
    <xf numFmtId="0" fontId="26" fillId="0" borderId="37" xfId="0" applyFont="1" applyBorder="1" applyAlignment="1">
      <alignment horizontal="center" vertical="center" wrapText="1"/>
    </xf>
    <xf numFmtId="0" fontId="22" fillId="0" borderId="38" xfId="0" applyFont="1" applyBorder="1" applyAlignment="1">
      <alignment horizontal="center" vertical="top" wrapText="1"/>
    </xf>
    <xf numFmtId="0" fontId="21" fillId="0" borderId="39" xfId="0" applyFont="1" applyBorder="1" applyAlignment="1">
      <alignment horizontal="left"/>
    </xf>
    <xf numFmtId="0" fontId="22" fillId="0" borderId="40" xfId="0" applyFont="1" applyBorder="1" applyAlignment="1">
      <alignment horizontal="center" vertical="top" wrapText="1"/>
    </xf>
    <xf numFmtId="0" fontId="21" fillId="0" borderId="41" xfId="0" applyFont="1" applyBorder="1" applyAlignment="1">
      <alignment horizontal="left"/>
    </xf>
    <xf numFmtId="0" fontId="21" fillId="0" borderId="40" xfId="0" applyFont="1" applyBorder="1" applyAlignment="1">
      <alignment horizontal="center" vertical="top" wrapText="1"/>
    </xf>
    <xf numFmtId="0" fontId="28" fillId="0" borderId="40" xfId="0" applyFont="1" applyBorder="1" applyAlignment="1">
      <alignment horizontal="center" vertical="center" wrapText="1"/>
    </xf>
    <xf numFmtId="0" fontId="21" fillId="0" borderId="40" xfId="0" applyFont="1" applyBorder="1" applyAlignment="1">
      <alignment horizontal="center"/>
    </xf>
    <xf numFmtId="0" fontId="21" fillId="0" borderId="0" xfId="0" applyFont="1" applyAlignment="1">
      <alignment horizontal="center"/>
    </xf>
    <xf numFmtId="0" fontId="28" fillId="0" borderId="40" xfId="0" applyFont="1" applyBorder="1" applyAlignment="1">
      <alignment horizontal="center" vertical="center"/>
    </xf>
    <xf numFmtId="0" fontId="22" fillId="0" borderId="40" xfId="0" applyFont="1" applyBorder="1" applyAlignment="1">
      <alignment horizontal="center" vertical="top"/>
    </xf>
    <xf numFmtId="0" fontId="21" fillId="37" borderId="41" xfId="0" applyFont="1" applyFill="1" applyBorder="1" applyAlignment="1">
      <alignment horizontal="left"/>
    </xf>
    <xf numFmtId="0" fontId="21" fillId="0" borderId="40" xfId="0" applyFont="1" applyBorder="1" applyAlignment="1">
      <alignment horizontal="center" wrapText="1"/>
    </xf>
    <xf numFmtId="0" fontId="22" fillId="0" borderId="0" xfId="0" applyFont="1" applyAlignment="1">
      <alignment horizontal="center" vertical="top" wrapText="1"/>
    </xf>
    <xf numFmtId="0" fontId="21" fillId="0" borderId="41" xfId="0" applyFont="1" applyBorder="1" applyAlignment="1">
      <alignment horizontal="left" vertical="center"/>
    </xf>
    <xf numFmtId="0" fontId="29" fillId="0" borderId="40" xfId="0" applyFont="1" applyBorder="1" applyAlignment="1">
      <alignment horizontal="center" vertical="center" wrapText="1"/>
    </xf>
    <xf numFmtId="0" fontId="21" fillId="38" borderId="41" xfId="0" applyFont="1" applyFill="1" applyBorder="1" applyAlignment="1">
      <alignment horizontal="left"/>
    </xf>
    <xf numFmtId="0" fontId="30" fillId="0" borderId="0" xfId="2"/>
    <xf numFmtId="49" fontId="31" fillId="0" borderId="0" xfId="2" applyNumberFormat="1" applyFont="1" applyAlignment="1">
      <alignment horizontal="right"/>
    </xf>
    <xf numFmtId="0" fontId="32" fillId="0" borderId="0" xfId="2" applyFont="1" applyAlignment="1">
      <alignment horizontal="right"/>
    </xf>
    <xf numFmtId="0" fontId="30" fillId="0" borderId="42" xfId="2" applyBorder="1"/>
    <xf numFmtId="0" fontId="33" fillId="0" borderId="0" xfId="2" applyFont="1"/>
    <xf numFmtId="0" fontId="22" fillId="0" borderId="0" xfId="2" applyFont="1"/>
    <xf numFmtId="0" fontId="34" fillId="0" borderId="0" xfId="2" applyFont="1"/>
    <xf numFmtId="0" fontId="22" fillId="45" borderId="43" xfId="2" applyFont="1" applyFill="1" applyBorder="1" applyAlignment="1">
      <alignment horizontal="center" vertical="top" wrapText="1"/>
    </xf>
    <xf numFmtId="0" fontId="22" fillId="0" borderId="12" xfId="2" applyFont="1" applyBorder="1" applyAlignment="1">
      <alignment horizontal="center" vertical="top" wrapText="1"/>
    </xf>
    <xf numFmtId="0" fontId="22" fillId="45" borderId="12" xfId="2" applyFont="1" applyFill="1" applyBorder="1" applyAlignment="1">
      <alignment horizontal="center" vertical="top" wrapText="1"/>
    </xf>
    <xf numFmtId="0" fontId="30" fillId="45" borderId="12" xfId="2" applyFill="1" applyBorder="1"/>
    <xf numFmtId="0" fontId="22" fillId="46" borderId="12" xfId="2" applyFont="1" applyFill="1" applyBorder="1" applyAlignment="1" applyProtection="1">
      <alignment horizontal="center" vertical="top" wrapText="1"/>
      <protection locked="0"/>
    </xf>
    <xf numFmtId="0" fontId="35" fillId="0" borderId="12" xfId="2" applyFont="1" applyBorder="1" applyAlignment="1">
      <alignment horizontal="center" vertical="top" wrapText="1"/>
    </xf>
    <xf numFmtId="0" fontId="35" fillId="0" borderId="29" xfId="2" applyFont="1" applyBorder="1" applyAlignment="1">
      <alignment horizontal="center" vertical="top" wrapText="1"/>
    </xf>
    <xf numFmtId="0" fontId="30" fillId="46" borderId="12" xfId="2" applyFill="1" applyBorder="1" applyProtection="1">
      <protection locked="0"/>
    </xf>
    <xf numFmtId="0" fontId="33" fillId="0" borderId="12" xfId="2" applyFont="1" applyBorder="1" applyAlignment="1">
      <alignment horizontal="center" vertical="top" wrapText="1"/>
    </xf>
    <xf numFmtId="0" fontId="36" fillId="0" borderId="0" xfId="2" applyFont="1"/>
    <xf numFmtId="0" fontId="37" fillId="0" borderId="0" xfId="2" applyFont="1"/>
    <xf numFmtId="0" fontId="31" fillId="0" borderId="0" xfId="2" applyFont="1"/>
    <xf numFmtId="0" fontId="22" fillId="45" borderId="12" xfId="2" applyFont="1" applyFill="1" applyBorder="1" applyAlignment="1">
      <alignment horizontal="center" vertical="center" wrapText="1"/>
    </xf>
    <xf numFmtId="0" fontId="22" fillId="0" borderId="12" xfId="2" applyFont="1" applyBorder="1" applyAlignment="1">
      <alignment horizontal="center" vertical="center" wrapText="1"/>
    </xf>
    <xf numFmtId="0" fontId="22" fillId="45" borderId="44" xfId="2" applyFont="1" applyFill="1" applyBorder="1" applyAlignment="1">
      <alignment horizontal="center" vertical="center" wrapText="1"/>
    </xf>
    <xf numFmtId="0" fontId="22" fillId="0" borderId="29" xfId="2" applyFont="1" applyBorder="1" applyAlignment="1">
      <alignment horizontal="center" vertical="center" wrapText="1"/>
    </xf>
    <xf numFmtId="0" fontId="22" fillId="0" borderId="44" xfId="2" applyFont="1" applyBorder="1" applyAlignment="1">
      <alignment horizontal="center" vertical="center" wrapText="1"/>
    </xf>
    <xf numFmtId="0" fontId="22" fillId="45" borderId="43" xfId="2" applyFont="1" applyFill="1" applyBorder="1" applyAlignment="1">
      <alignment horizontal="center" vertical="center" wrapText="1"/>
    </xf>
    <xf numFmtId="0" fontId="22" fillId="46" borderId="45" xfId="2" applyFont="1" applyFill="1" applyBorder="1" applyAlignment="1" applyProtection="1">
      <alignment horizontal="center" vertical="top" wrapText="1"/>
      <protection locked="0"/>
    </xf>
    <xf numFmtId="0" fontId="35" fillId="0" borderId="16" xfId="2" applyFont="1" applyBorder="1" applyAlignment="1">
      <alignment horizontal="center" vertical="top" wrapText="1"/>
    </xf>
    <xf numFmtId="0" fontId="22" fillId="0" borderId="45" xfId="2" applyFont="1" applyBorder="1" applyAlignment="1">
      <alignment horizontal="center" vertical="top" wrapText="1"/>
    </xf>
    <xf numFmtId="0" fontId="36" fillId="0" borderId="0" xfId="2" applyFont="1" applyAlignment="1">
      <alignment horizontal="left"/>
    </xf>
    <xf numFmtId="0" fontId="36" fillId="0" borderId="0" xfId="2" applyFont="1" applyAlignment="1">
      <alignment horizontal="left" indent="1"/>
    </xf>
    <xf numFmtId="0" fontId="22" fillId="46" borderId="12" xfId="2" applyFont="1" applyFill="1" applyBorder="1"/>
    <xf numFmtId="0" fontId="22" fillId="0" borderId="0" xfId="2" applyFont="1" applyAlignment="1">
      <alignment horizontal="center"/>
    </xf>
    <xf numFmtId="0" fontId="22" fillId="0" borderId="42" xfId="2" applyFont="1" applyBorder="1"/>
    <xf numFmtId="0" fontId="22" fillId="0" borderId="42" xfId="2" applyFont="1" applyBorder="1" applyAlignment="1">
      <alignment horizontal="center"/>
    </xf>
    <xf numFmtId="0" fontId="32" fillId="0" borderId="42" xfId="2" applyFont="1" applyBorder="1"/>
    <xf numFmtId="0" fontId="22" fillId="0" borderId="43" xfId="2" applyFont="1" applyBorder="1" applyAlignment="1">
      <alignment horizontal="center" vertical="top" wrapText="1"/>
    </xf>
    <xf numFmtId="0" fontId="33" fillId="0" borderId="0" xfId="2" applyFont="1" applyAlignment="1">
      <alignment horizontal="center" vertical="top" wrapText="1"/>
    </xf>
    <xf numFmtId="0" fontId="39" fillId="0" borderId="0" xfId="2" applyFont="1"/>
    <xf numFmtId="0" fontId="40" fillId="0" borderId="0" xfId="2" applyFont="1"/>
    <xf numFmtId="2" fontId="41" fillId="0" borderId="12" xfId="2" applyNumberFormat="1" applyFont="1" applyBorder="1" applyAlignment="1">
      <alignment horizontal="center" vertical="top" wrapText="1"/>
    </xf>
    <xf numFmtId="0" fontId="41" fillId="0" borderId="12" xfId="2" applyFont="1" applyBorder="1" applyAlignment="1">
      <alignment horizontal="center" vertical="top" wrapText="1"/>
    </xf>
    <xf numFmtId="0" fontId="30" fillId="0" borderId="12" xfId="2" applyBorder="1" applyAlignment="1">
      <alignment horizontal="center"/>
    </xf>
    <xf numFmtId="0" fontId="22" fillId="0" borderId="0" xfId="2" applyFont="1" applyAlignment="1">
      <alignment vertical="top" wrapText="1"/>
    </xf>
    <xf numFmtId="0" fontId="22" fillId="0" borderId="0" xfId="2" applyFont="1" applyAlignment="1">
      <alignment horizontal="center" vertical="top" wrapText="1"/>
    </xf>
    <xf numFmtId="0" fontId="22" fillId="0" borderId="0" xfId="2" applyFont="1" applyAlignment="1">
      <alignment horizontal="right" vertical="top" wrapText="1"/>
    </xf>
    <xf numFmtId="0" fontId="42" fillId="0" borderId="0" xfId="2" applyFont="1" applyAlignment="1">
      <alignment vertical="top" wrapText="1"/>
    </xf>
    <xf numFmtId="0" fontId="36" fillId="0" borderId="0" xfId="2" applyFont="1" applyAlignment="1">
      <alignment wrapText="1"/>
    </xf>
    <xf numFmtId="0" fontId="29" fillId="0" borderId="0" xfId="2" applyFont="1"/>
    <xf numFmtId="0" fontId="43" fillId="0" borderId="0" xfId="2" applyFont="1"/>
    <xf numFmtId="0" fontId="36" fillId="0" borderId="0" xfId="2" applyFont="1" applyAlignment="1">
      <alignment horizontal="center"/>
    </xf>
    <xf numFmtId="49" fontId="22" fillId="0" borderId="0" xfId="2" applyNumberFormat="1" applyFont="1" applyAlignment="1">
      <alignment horizontal="center"/>
    </xf>
    <xf numFmtId="0" fontId="30" fillId="46" borderId="12" xfId="2" applyFill="1" applyBorder="1"/>
    <xf numFmtId="0" fontId="44" fillId="0" borderId="0" xfId="2" applyFont="1" applyAlignment="1">
      <alignment horizontal="center" vertical="top" wrapText="1"/>
    </xf>
    <xf numFmtId="0" fontId="30" fillId="0" borderId="0" xfId="2" applyAlignment="1">
      <alignment wrapText="1"/>
    </xf>
    <xf numFmtId="0" fontId="32" fillId="0" borderId="42" xfId="2" applyFont="1" applyBorder="1" applyAlignment="1">
      <alignment horizontal="right"/>
    </xf>
    <xf numFmtId="0" fontId="44" fillId="0" borderId="0" xfId="2" applyFont="1"/>
    <xf numFmtId="0" fontId="45" fillId="0" borderId="0" xfId="2" applyFont="1"/>
    <xf numFmtId="0" fontId="46" fillId="0" borderId="0" xfId="2" applyFont="1"/>
    <xf numFmtId="0" fontId="47" fillId="0" borderId="0" xfId="2" applyFont="1"/>
    <xf numFmtId="0" fontId="37" fillId="45" borderId="12" xfId="2" applyFont="1" applyFill="1" applyBorder="1" applyAlignment="1">
      <alignment horizontal="center" vertical="top" wrapText="1"/>
    </xf>
    <xf numFmtId="0" fontId="30" fillId="45" borderId="12" xfId="2" applyFill="1" applyBorder="1" applyAlignment="1">
      <alignment horizontal="center" vertical="top" wrapText="1"/>
    </xf>
    <xf numFmtId="0" fontId="37" fillId="0" borderId="43" xfId="2" applyFont="1" applyBorder="1" applyAlignment="1">
      <alignment horizontal="center" vertical="top" wrapText="1"/>
    </xf>
    <xf numFmtId="0" fontId="37" fillId="45" borderId="43" xfId="2" applyFont="1" applyFill="1" applyBorder="1" applyAlignment="1">
      <alignment horizontal="center" vertical="top" wrapText="1"/>
    </xf>
    <xf numFmtId="0" fontId="30" fillId="46" borderId="12" xfId="2" applyFill="1" applyBorder="1" applyAlignment="1" applyProtection="1">
      <alignment horizontal="center"/>
      <protection locked="0"/>
    </xf>
    <xf numFmtId="0" fontId="37" fillId="0" borderId="16" xfId="2" applyFont="1" applyBorder="1" applyAlignment="1" applyProtection="1">
      <alignment horizontal="center" vertical="top" wrapText="1"/>
      <protection locked="0"/>
    </xf>
    <xf numFmtId="0" fontId="44" fillId="0" borderId="45" xfId="2" applyFont="1" applyBorder="1" applyAlignment="1">
      <alignment horizontal="center" vertical="top" wrapText="1"/>
    </xf>
    <xf numFmtId="0" fontId="37" fillId="0" borderId="45" xfId="2" applyFont="1" applyBorder="1" applyAlignment="1">
      <alignment horizontal="center" vertical="top" wrapText="1"/>
    </xf>
    <xf numFmtId="0" fontId="35" fillId="0" borderId="45" xfId="2" applyFont="1" applyBorder="1" applyAlignment="1">
      <alignment horizontal="center" vertical="top" wrapText="1"/>
    </xf>
    <xf numFmtId="0" fontId="37" fillId="46" borderId="45" xfId="2" applyFont="1" applyFill="1" applyBorder="1" applyAlignment="1" applyProtection="1">
      <alignment horizontal="center" vertical="top" wrapText="1"/>
      <protection locked="0"/>
    </xf>
    <xf numFmtId="0" fontId="30" fillId="46" borderId="0" xfId="2" applyFill="1" applyAlignment="1" applyProtection="1">
      <alignment horizontal="center"/>
      <protection locked="0"/>
    </xf>
    <xf numFmtId="0" fontId="37" fillId="0" borderId="0" xfId="2" applyFont="1" applyAlignment="1" applyProtection="1">
      <alignment horizontal="center" vertical="top" wrapText="1"/>
      <protection locked="0"/>
    </xf>
    <xf numFmtId="0" fontId="44" fillId="0" borderId="48" xfId="2" applyFont="1" applyBorder="1" applyAlignment="1">
      <alignment horizontal="center" vertical="top" wrapText="1"/>
    </xf>
    <xf numFmtId="0" fontId="37" fillId="0" borderId="44" xfId="2" applyFont="1" applyBorder="1" applyAlignment="1">
      <alignment horizontal="right" vertical="top"/>
    </xf>
    <xf numFmtId="0" fontId="37" fillId="0" borderId="29" xfId="2" applyFont="1" applyBorder="1" applyAlignment="1">
      <alignment horizontal="right" vertical="top"/>
    </xf>
    <xf numFmtId="0" fontId="37" fillId="0" borderId="0" xfId="2" applyFont="1" applyAlignment="1">
      <alignment horizontal="right" vertical="top"/>
    </xf>
    <xf numFmtId="0" fontId="37" fillId="0" borderId="0" xfId="2" applyFont="1" applyAlignment="1">
      <alignment horizontal="center" vertical="top" wrapText="1"/>
    </xf>
    <xf numFmtId="0" fontId="37" fillId="46" borderId="50" xfId="2" applyFont="1" applyFill="1" applyBorder="1" applyAlignment="1" applyProtection="1">
      <alignment horizontal="center" vertical="top" wrapText="1"/>
      <protection locked="0"/>
    </xf>
    <xf numFmtId="0" fontId="35" fillId="0" borderId="50" xfId="2" applyFont="1" applyBorder="1" applyAlignment="1">
      <alignment horizontal="center" vertical="top" wrapText="1"/>
    </xf>
    <xf numFmtId="0" fontId="37" fillId="0" borderId="50" xfId="2" applyFont="1" applyBorder="1" applyAlignment="1">
      <alignment horizontal="center" vertical="top" wrapText="1"/>
    </xf>
    <xf numFmtId="0" fontId="37" fillId="0" borderId="46" xfId="2" applyFont="1" applyBorder="1" applyAlignment="1">
      <alignment horizontal="right" vertical="top"/>
    </xf>
    <xf numFmtId="0" fontId="37" fillId="0" borderId="43" xfId="2" applyFont="1" applyBorder="1" applyAlignment="1">
      <alignment horizontal="right" vertical="top"/>
    </xf>
    <xf numFmtId="0" fontId="37" fillId="0" borderId="0" xfId="2" applyFont="1" applyAlignment="1">
      <alignment horizontal="left" indent="8"/>
    </xf>
    <xf numFmtId="0" fontId="37" fillId="46" borderId="12" xfId="2" applyFont="1" applyFill="1" applyBorder="1" applyAlignment="1" applyProtection="1">
      <alignment horizontal="center" vertical="top" wrapText="1"/>
      <protection locked="0"/>
    </xf>
    <xf numFmtId="0" fontId="30" fillId="46" borderId="12" xfId="2" applyFill="1" applyBorder="1" applyAlignment="1" applyProtection="1">
      <alignment horizontal="center" vertical="top" wrapText="1"/>
      <protection locked="0"/>
    </xf>
    <xf numFmtId="10" fontId="37" fillId="46" borderId="45" xfId="2" applyNumberFormat="1" applyFont="1" applyFill="1" applyBorder="1" applyAlignment="1" applyProtection="1">
      <alignment horizontal="center" vertical="top" wrapText="1"/>
      <protection locked="0"/>
    </xf>
    <xf numFmtId="0" fontId="44" fillId="0" borderId="43" xfId="2" applyFont="1" applyBorder="1" applyAlignment="1">
      <alignment horizontal="center" vertical="top" wrapText="1"/>
    </xf>
    <xf numFmtId="10" fontId="37" fillId="46" borderId="43" xfId="2" applyNumberFormat="1" applyFont="1" applyFill="1" applyBorder="1" applyAlignment="1" applyProtection="1">
      <alignment horizontal="center" vertical="top" wrapText="1"/>
      <protection locked="0"/>
    </xf>
    <xf numFmtId="0" fontId="30" fillId="0" borderId="12" xfId="2" applyBorder="1"/>
    <xf numFmtId="0" fontId="44" fillId="0" borderId="12" xfId="2" applyFont="1" applyBorder="1" applyAlignment="1">
      <alignment horizontal="center" vertical="top" wrapText="1"/>
    </xf>
    <xf numFmtId="0" fontId="30" fillId="0" borderId="46" xfId="2" applyBorder="1" applyAlignment="1">
      <alignment wrapText="1"/>
    </xf>
    <xf numFmtId="0" fontId="37" fillId="0" borderId="48" xfId="2" applyFont="1" applyBorder="1" applyAlignment="1">
      <alignment horizontal="right" vertical="top" wrapText="1"/>
    </xf>
    <xf numFmtId="0" fontId="30" fillId="0" borderId="12" xfId="2" applyBorder="1" applyAlignment="1">
      <alignment wrapText="1"/>
    </xf>
    <xf numFmtId="0" fontId="37" fillId="0" borderId="12" xfId="2" applyFont="1" applyBorder="1" applyAlignment="1">
      <alignment horizontal="right" vertical="top"/>
    </xf>
    <xf numFmtId="0" fontId="35" fillId="0" borderId="43" xfId="2" applyFont="1" applyBorder="1" applyAlignment="1">
      <alignment horizontal="center" vertical="top" wrapText="1"/>
    </xf>
    <xf numFmtId="0" fontId="30" fillId="0" borderId="51" xfId="2" applyBorder="1" applyAlignment="1">
      <alignment wrapText="1"/>
    </xf>
    <xf numFmtId="0" fontId="37" fillId="0" borderId="51" xfId="2" applyFont="1" applyBorder="1" applyAlignment="1">
      <alignment horizontal="right" vertical="top"/>
    </xf>
    <xf numFmtId="0" fontId="35" fillId="0" borderId="0" xfId="2" applyFont="1" applyAlignment="1">
      <alignment horizontal="center" vertical="top" wrapText="1"/>
    </xf>
    <xf numFmtId="0" fontId="37" fillId="0" borderId="0" xfId="2" applyFont="1" applyAlignment="1">
      <alignment vertical="top" wrapText="1"/>
    </xf>
    <xf numFmtId="0" fontId="37" fillId="0" borderId="0" xfId="2" applyFont="1" applyAlignment="1">
      <alignment horizontal="left" indent="1"/>
    </xf>
    <xf numFmtId="49" fontId="33" fillId="0" borderId="0" xfId="2" applyNumberFormat="1" applyFont="1" applyAlignment="1">
      <alignment horizontal="center" vertical="top" wrapText="1"/>
    </xf>
    <xf numFmtId="0" fontId="0" fillId="47" borderId="12" xfId="0" applyFill="1" applyBorder="1"/>
    <xf numFmtId="0" fontId="0" fillId="42" borderId="12" xfId="0" applyFill="1" applyBorder="1"/>
    <xf numFmtId="0" fontId="0" fillId="48" borderId="12" xfId="0" applyFill="1" applyBorder="1"/>
    <xf numFmtId="0" fontId="0" fillId="37" borderId="12" xfId="0" applyFill="1" applyBorder="1"/>
    <xf numFmtId="0" fontId="0" fillId="0" borderId="0" xfId="0" applyAlignment="1">
      <alignment horizontal="left" vertical="top" wrapText="1"/>
    </xf>
    <xf numFmtId="0" fontId="0" fillId="0" borderId="0" xfId="0" applyAlignment="1">
      <alignment vertical="top" wrapText="1"/>
    </xf>
    <xf numFmtId="0" fontId="0" fillId="47" borderId="0" xfId="0" applyFill="1"/>
    <xf numFmtId="0" fontId="49" fillId="0" borderId="0" xfId="0" applyFont="1"/>
    <xf numFmtId="0" fontId="0" fillId="48" borderId="51" xfId="0" applyFill="1" applyBorder="1" applyAlignment="1">
      <alignment horizontal="center"/>
    </xf>
    <xf numFmtId="0" fontId="0" fillId="48" borderId="52" xfId="0" applyFill="1" applyBorder="1" applyAlignment="1">
      <alignment horizontal="center"/>
    </xf>
    <xf numFmtId="0" fontId="0" fillId="48" borderId="16" xfId="0" applyFill="1" applyBorder="1" applyAlignment="1">
      <alignment horizontal="center"/>
    </xf>
    <xf numFmtId="0" fontId="0" fillId="0" borderId="0" xfId="0" applyAlignment="1">
      <alignment horizontal="left" vertical="top" wrapText="1"/>
    </xf>
    <xf numFmtId="0" fontId="0" fillId="36" borderId="0" xfId="0" applyFill="1" applyAlignment="1">
      <alignment horizontal="center"/>
    </xf>
    <xf numFmtId="0" fontId="8" fillId="37" borderId="0" xfId="0" applyFont="1" applyFill="1" applyAlignment="1">
      <alignment horizontal="center"/>
    </xf>
    <xf numFmtId="0" fontId="8" fillId="37" borderId="30" xfId="0" applyFont="1" applyFill="1" applyBorder="1" applyAlignment="1">
      <alignment horizontal="left" vertical="center" wrapText="1"/>
    </xf>
    <xf numFmtId="0" fontId="8" fillId="37" borderId="31" xfId="0" applyFont="1" applyFill="1" applyBorder="1" applyAlignment="1">
      <alignment horizontal="left" vertical="center" wrapText="1"/>
    </xf>
    <xf numFmtId="0" fontId="8" fillId="37" borderId="32" xfId="0" applyFont="1" applyFill="1" applyBorder="1" applyAlignment="1">
      <alignment horizontal="left" vertical="center" wrapText="1"/>
    </xf>
    <xf numFmtId="0" fontId="8" fillId="37" borderId="33" xfId="0" applyFont="1" applyFill="1" applyBorder="1" applyAlignment="1">
      <alignment horizontal="left" vertical="center" wrapText="1"/>
    </xf>
    <xf numFmtId="0" fontId="8" fillId="37" borderId="0" xfId="0" applyFont="1" applyFill="1" applyAlignment="1">
      <alignment horizontal="left" vertical="center" wrapText="1"/>
    </xf>
    <xf numFmtId="0" fontId="8" fillId="37" borderId="34" xfId="0" applyFont="1" applyFill="1" applyBorder="1" applyAlignment="1">
      <alignment horizontal="left" vertical="center" wrapText="1"/>
    </xf>
    <xf numFmtId="0" fontId="8" fillId="37" borderId="9" xfId="0" applyFont="1" applyFill="1" applyBorder="1" applyAlignment="1">
      <alignment horizontal="left" vertical="center" wrapText="1"/>
    </xf>
    <xf numFmtId="0" fontId="8" fillId="37" borderId="1" xfId="0" applyFont="1" applyFill="1" applyBorder="1" applyAlignment="1">
      <alignment horizontal="left" vertical="center" wrapText="1"/>
    </xf>
    <xf numFmtId="0" fontId="8" fillId="37" borderId="10" xfId="0" applyFont="1" applyFill="1" applyBorder="1" applyAlignment="1">
      <alignment horizontal="left" vertical="center" wrapText="1"/>
    </xf>
    <xf numFmtId="0" fontId="27" fillId="44" borderId="0" xfId="0" applyFont="1" applyFill="1" applyAlignment="1">
      <alignment horizontal="center" vertical="center" wrapText="1"/>
    </xf>
    <xf numFmtId="0" fontId="36" fillId="0" borderId="0" xfId="2" applyFont="1"/>
    <xf numFmtId="0" fontId="36" fillId="0" borderId="46" xfId="2" applyFont="1" applyBorder="1" applyAlignment="1">
      <alignment horizontal="left"/>
    </xf>
    <xf numFmtId="0" fontId="36" fillId="0" borderId="0" xfId="2" applyFont="1" applyAlignment="1">
      <alignment horizontal="left"/>
    </xf>
    <xf numFmtId="0" fontId="22" fillId="45" borderId="12" xfId="2" applyFont="1" applyFill="1" applyBorder="1" applyAlignment="1">
      <alignment horizontal="center" vertical="top" wrapText="1"/>
    </xf>
    <xf numFmtId="0" fontId="22" fillId="45" borderId="12" xfId="2" applyFont="1" applyFill="1" applyBorder="1"/>
    <xf numFmtId="0" fontId="22" fillId="46" borderId="12" xfId="2" applyFont="1" applyFill="1" applyBorder="1" applyAlignment="1" applyProtection="1">
      <alignment horizontal="center" vertical="top" wrapText="1"/>
      <protection locked="0"/>
    </xf>
    <xf numFmtId="0" fontId="22" fillId="46" borderId="12" xfId="2" applyFont="1" applyFill="1" applyBorder="1" applyProtection="1">
      <protection locked="0"/>
    </xf>
    <xf numFmtId="0" fontId="32" fillId="0" borderId="0" xfId="2" applyFont="1" applyAlignment="1">
      <alignment horizontal="right"/>
    </xf>
    <xf numFmtId="49" fontId="31" fillId="0" borderId="0" xfId="2" applyNumberFormat="1" applyFont="1" applyAlignment="1">
      <alignment horizontal="right"/>
    </xf>
    <xf numFmtId="0" fontId="30" fillId="0" borderId="0" xfId="2"/>
    <xf numFmtId="0" fontId="30" fillId="0" borderId="0" xfId="2" applyAlignment="1">
      <alignment horizontal="right"/>
    </xf>
    <xf numFmtId="0" fontId="22" fillId="45" borderId="29" xfId="2" applyFont="1" applyFill="1" applyBorder="1" applyAlignment="1">
      <alignment horizontal="center" vertical="top" wrapText="1"/>
    </xf>
    <xf numFmtId="0" fontId="22" fillId="45" borderId="43" xfId="2" applyFont="1" applyFill="1" applyBorder="1" applyAlignment="1">
      <alignment horizontal="center" vertical="top" wrapText="1"/>
    </xf>
    <xf numFmtId="0" fontId="22" fillId="45" borderId="12" xfId="2" applyFont="1" applyFill="1" applyBorder="1" applyAlignment="1">
      <alignment horizontal="center" vertical="center" wrapText="1"/>
    </xf>
    <xf numFmtId="0" fontId="22" fillId="45" borderId="12" xfId="2" applyFont="1" applyFill="1" applyBorder="1" applyAlignment="1">
      <alignment horizontal="center" vertical="center"/>
    </xf>
    <xf numFmtId="0" fontId="22" fillId="0" borderId="12" xfId="2" applyFont="1" applyBorder="1" applyAlignment="1">
      <alignment horizontal="right" vertical="top" wrapText="1"/>
    </xf>
    <xf numFmtId="0" fontId="33" fillId="0" borderId="12" xfId="2" applyFont="1" applyBorder="1" applyAlignment="1">
      <alignment vertical="top" wrapText="1"/>
    </xf>
    <xf numFmtId="0" fontId="22" fillId="0" borderId="0" xfId="2" applyFont="1" applyAlignment="1">
      <alignment vertical="top" wrapText="1"/>
    </xf>
    <xf numFmtId="0" fontId="41" fillId="0" borderId="12" xfId="2" applyFont="1" applyBorder="1" applyAlignment="1">
      <alignment horizontal="right" vertical="top" wrapText="1"/>
    </xf>
    <xf numFmtId="0" fontId="22" fillId="0" borderId="29" xfId="2" applyFont="1" applyBorder="1" applyAlignment="1">
      <alignment horizontal="center" vertical="top" wrapText="1"/>
    </xf>
    <xf numFmtId="0" fontId="22" fillId="0" borderId="43" xfId="2" applyFont="1" applyBorder="1" applyAlignment="1">
      <alignment horizontal="center" vertical="top" wrapText="1"/>
    </xf>
    <xf numFmtId="0" fontId="22" fillId="46" borderId="29" xfId="2" applyFont="1" applyFill="1" applyBorder="1" applyAlignment="1" applyProtection="1">
      <alignment horizontal="center" vertical="top" wrapText="1"/>
      <protection locked="0"/>
    </xf>
    <xf numFmtId="0" fontId="22" fillId="46" borderId="43" xfId="2" applyFont="1" applyFill="1" applyBorder="1" applyAlignment="1" applyProtection="1">
      <alignment horizontal="center" vertical="top" wrapText="1"/>
      <protection locked="0"/>
    </xf>
    <xf numFmtId="0" fontId="22" fillId="0" borderId="12" xfId="2" applyFont="1" applyBorder="1" applyAlignment="1">
      <alignment vertical="top" wrapText="1"/>
    </xf>
    <xf numFmtId="0" fontId="22" fillId="0" borderId="12" xfId="2" applyFont="1" applyBorder="1" applyAlignment="1">
      <alignment horizontal="center" vertical="top" wrapText="1"/>
    </xf>
    <xf numFmtId="0" fontId="30" fillId="0" borderId="29" xfId="2" applyBorder="1"/>
    <xf numFmtId="0" fontId="30" fillId="0" borderId="44" xfId="2" applyBorder="1"/>
    <xf numFmtId="0" fontId="30" fillId="0" borderId="43" xfId="2" applyBorder="1"/>
    <xf numFmtId="0" fontId="30" fillId="0" borderId="12" xfId="2" applyBorder="1" applyAlignment="1">
      <alignment horizontal="center"/>
    </xf>
    <xf numFmtId="0" fontId="22" fillId="0" borderId="29" xfId="2" applyFont="1" applyBorder="1" applyAlignment="1">
      <alignment vertical="top" wrapText="1"/>
    </xf>
    <xf numFmtId="0" fontId="22" fillId="0" borderId="44" xfId="2" applyFont="1" applyBorder="1" applyAlignment="1">
      <alignment vertical="top" wrapText="1"/>
    </xf>
    <xf numFmtId="0" fontId="22" fillId="0" borderId="43" xfId="2" applyFont="1" applyBorder="1" applyAlignment="1">
      <alignment vertical="top" wrapText="1"/>
    </xf>
    <xf numFmtId="0" fontId="41" fillId="0" borderId="12" xfId="2" applyFont="1" applyBorder="1" applyAlignment="1">
      <alignment vertical="top" wrapText="1"/>
    </xf>
    <xf numFmtId="0" fontId="33" fillId="0" borderId="12" xfId="2" applyFont="1" applyBorder="1" applyAlignment="1">
      <alignment horizontal="center" vertical="top" wrapText="1"/>
    </xf>
    <xf numFmtId="0" fontId="22" fillId="0" borderId="12" xfId="2" applyFont="1" applyBorder="1" applyAlignment="1">
      <alignment horizontal="center" vertical="center" wrapText="1"/>
    </xf>
    <xf numFmtId="0" fontId="22" fillId="45" borderId="47" xfId="2" applyFont="1" applyFill="1" applyBorder="1" applyAlignment="1">
      <alignment horizontal="center" vertical="center" wrapText="1"/>
    </xf>
    <xf numFmtId="0" fontId="22" fillId="45" borderId="48" xfId="2" applyFont="1" applyFill="1" applyBorder="1" applyAlignment="1">
      <alignment horizontal="center" vertical="center" wrapText="1"/>
    </xf>
    <xf numFmtId="0" fontId="22" fillId="45" borderId="49" xfId="2" applyFont="1" applyFill="1" applyBorder="1" applyAlignment="1">
      <alignment horizontal="center" vertical="center" wrapText="1"/>
    </xf>
    <xf numFmtId="0" fontId="22" fillId="45" borderId="50" xfId="2" applyFont="1" applyFill="1" applyBorder="1" applyAlignment="1">
      <alignment horizontal="center" vertical="center" wrapText="1"/>
    </xf>
    <xf numFmtId="0" fontId="22" fillId="45" borderId="28" xfId="2" applyFont="1" applyFill="1" applyBorder="1" applyAlignment="1">
      <alignment horizontal="center" vertical="center" wrapText="1"/>
    </xf>
    <xf numFmtId="0" fontId="22" fillId="45" borderId="45" xfId="2" applyFont="1" applyFill="1" applyBorder="1" applyAlignment="1">
      <alignment horizontal="center" vertical="center" wrapText="1"/>
    </xf>
    <xf numFmtId="0" fontId="30" fillId="0" borderId="12" xfId="2" applyBorder="1" applyAlignment="1">
      <alignment horizontal="right" wrapText="1"/>
    </xf>
    <xf numFmtId="0" fontId="30" fillId="0" borderId="12" xfId="2" applyBorder="1" applyAlignment="1">
      <alignment horizontal="right"/>
    </xf>
  </cellXfs>
  <cellStyles count="3">
    <cellStyle name="Heading 4" xfId="1" builtinId="19"/>
    <cellStyle name="Normal" xfId="0" builtinId="0"/>
    <cellStyle name="Normal 2" xfId="2" xr:uid="{A46A62BC-E69B-469C-9F69-1E2D492AC95F}"/>
  </cellStyles>
  <dxfs count="16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theme="0" tint="-0.34998626667073579"/>
        </patternFill>
      </fill>
      <alignment horizontal="center" vertical="center" textRotation="0" wrapText="1" indent="0" justifyLastLine="0" shrinkToFit="0" readingOrder="0"/>
      <border outline="0">
        <left style="thin">
          <color theme="1"/>
        </left>
      </border>
    </dxf>
    <dxf>
      <fill>
        <patternFill patternType="solid">
          <fgColor indexed="64"/>
          <bgColor theme="0" tint="-0.34998626667073579"/>
        </patternFill>
      </fill>
      <alignment horizontal="left" vertical="center" textRotation="0" wrapText="1" indent="0" justifyLastLine="0" shrinkToFit="0" readingOrder="0"/>
      <border diagonalUp="0" diagonalDown="0" outline="0">
        <left style="thin">
          <color theme="1"/>
        </left>
        <right style="thin">
          <color theme="1"/>
        </right>
        <top style="thin">
          <color theme="1"/>
        </top>
        <bottom/>
      </border>
    </dxf>
    <dxf>
      <fill>
        <patternFill patternType="solid">
          <fgColor indexed="64"/>
          <bgColor theme="0" tint="-0.34998626667073579"/>
        </patternFill>
      </fill>
      <alignment horizontal="center" vertical="center" textRotation="0" indent="0" justifyLastLine="0" shrinkToFit="0" readingOrder="0"/>
      <border outline="0">
        <left/>
        <right style="thin">
          <color theme="1"/>
        </right>
      </border>
    </dxf>
    <dxf>
      <fill>
        <patternFill patternType="solid">
          <fgColor indexed="64"/>
          <bgColor theme="0" tint="-0.249977111117893"/>
        </patternFill>
      </fill>
      <alignment horizontal="center" vertical="center" textRotation="0" indent="0" justifyLastLine="0" shrinkToFit="0" readingOrder="0"/>
      <border outline="0">
        <left/>
        <right style="thin">
          <color theme="1"/>
        </right>
      </border>
    </dxf>
    <dxf>
      <font>
        <b val="0"/>
        <i val="0"/>
        <strike val="0"/>
        <condense val="0"/>
        <extend val="0"/>
        <outline val="0"/>
        <shadow val="0"/>
        <u val="none"/>
        <vertAlign val="baseline"/>
        <sz val="11"/>
        <color theme="1"/>
        <name val="Calibri"/>
        <family val="2"/>
        <scheme val="minor"/>
      </font>
      <fill>
        <patternFill patternType="solid">
          <fgColor indexed="64"/>
          <bgColor theme="0" tint="-0.249977111117893"/>
        </patternFill>
      </fill>
      <alignment horizontal="center" vertical="center" textRotation="0" wrapText="0" indent="0" justifyLastLine="0" shrinkToFit="0" readingOrder="0"/>
      <border diagonalUp="0" diagonalDown="0" outline="0">
        <left/>
        <right style="thin">
          <color theme="1"/>
        </right>
        <top style="thin">
          <color theme="1"/>
        </top>
        <bottom/>
      </border>
    </dxf>
    <dxf>
      <font>
        <b val="0"/>
        <i val="0"/>
        <strike val="0"/>
        <condense val="0"/>
        <extend val="0"/>
        <outline val="0"/>
        <shadow val="0"/>
        <u val="none"/>
        <vertAlign val="baseline"/>
        <sz val="11"/>
        <color theme="1"/>
        <name val="Calibri"/>
        <family val="2"/>
        <scheme val="minor"/>
      </font>
      <fill>
        <patternFill patternType="solid">
          <fgColor indexed="64"/>
          <bgColor theme="0" tint="-0.249977111117893"/>
        </patternFill>
      </fill>
      <alignment horizontal="center" vertical="center" textRotation="0" wrapText="0" indent="0" justifyLastLine="0" shrinkToFit="0" readingOrder="0"/>
      <border diagonalUp="0" diagonalDown="0" outline="0">
        <left/>
        <right style="thin">
          <color theme="1"/>
        </right>
        <top style="thin">
          <color theme="1"/>
        </top>
        <bottom/>
      </border>
    </dxf>
    <dxf>
      <font>
        <b val="0"/>
        <i val="0"/>
        <strike val="0"/>
        <condense val="0"/>
        <extend val="0"/>
        <outline val="0"/>
        <shadow val="0"/>
        <u val="none"/>
        <vertAlign val="baseline"/>
        <sz val="11"/>
        <color theme="1"/>
        <name val="Calibri"/>
        <family val="2"/>
        <scheme val="minor"/>
      </font>
      <fill>
        <patternFill patternType="solid">
          <fgColor indexed="64"/>
          <bgColor theme="0" tint="-0.249977111117893"/>
        </patternFill>
      </fill>
      <alignment horizontal="center" vertical="center" textRotation="0" wrapText="0" indent="0" justifyLastLine="0" shrinkToFit="0" readingOrder="0"/>
      <border diagonalUp="0" diagonalDown="0" outline="0">
        <left/>
        <right style="thin">
          <color theme="1"/>
        </right>
        <top style="thin">
          <color theme="1"/>
        </top>
        <bottom/>
      </border>
    </dxf>
    <dxf>
      <font>
        <b val="0"/>
        <i val="0"/>
        <strike val="0"/>
        <condense val="0"/>
        <extend val="0"/>
        <outline val="0"/>
        <shadow val="0"/>
        <u val="none"/>
        <vertAlign val="baseline"/>
        <sz val="11"/>
        <color theme="1"/>
        <name val="Calibri"/>
        <family val="2"/>
        <scheme val="minor"/>
      </font>
      <fill>
        <patternFill patternType="solid">
          <fgColor indexed="64"/>
          <bgColor theme="0" tint="-0.249977111117893"/>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border>
    </dxf>
    <dxf>
      <fill>
        <patternFill patternType="solid">
          <fgColor indexed="64"/>
          <bgColor theme="0" tint="-0.14999847407452621"/>
        </patternFill>
      </fill>
      <alignment horizontal="center" vertical="center" textRotation="0" indent="0" justifyLastLine="0" shrinkToFit="0" readingOrder="0"/>
      <border outline="0">
        <right style="thin">
          <color theme="1"/>
        </right>
      </border>
    </dxf>
    <dxf>
      <fill>
        <patternFill patternType="solid">
          <fgColor indexed="64"/>
          <bgColor theme="0" tint="-0.14999847407452621"/>
        </patternFill>
      </fill>
      <alignment horizontal="center" vertical="center" textRotation="0" indent="0" justifyLastLine="0" shrinkToFit="0" readingOrder="0"/>
      <border outline="0">
        <right style="thin">
          <color theme="1"/>
        </right>
      </border>
    </dxf>
    <dxf>
      <fill>
        <patternFill patternType="solid">
          <fgColor indexed="64"/>
          <bgColor theme="0" tint="-0.14999847407452621"/>
        </patternFill>
      </fill>
      <alignment horizontal="center" vertical="center" textRotation="0" indent="0" justifyLastLine="0" shrinkToFit="0" readingOrder="0"/>
      <border outline="0">
        <left/>
        <right style="thin">
          <color theme="1"/>
        </right>
      </border>
    </dxf>
    <dxf>
      <numFmt numFmtId="164" formatCode="[$-F800]dddd\,\ mmmm\ dd\,\ yyyy"/>
      <fill>
        <patternFill patternType="solid">
          <fgColor indexed="64"/>
          <bgColor theme="0" tint="-0.14999847407452621"/>
        </patternFill>
      </fill>
      <alignment horizontal="center" vertical="center" textRotation="0" indent="0" justifyLastLine="0" shrinkToFit="0" readingOrder="0"/>
      <border outline="0">
        <right style="thin">
          <color theme="1"/>
        </right>
      </border>
    </dxf>
    <dxf>
      <fill>
        <patternFill patternType="solid">
          <fgColor indexed="64"/>
          <bgColor theme="0" tint="-0.14999847407452621"/>
        </patternFill>
      </fill>
      <alignment horizontal="center" vertical="center" textRotation="0" indent="0" justifyLastLine="0" shrinkToFit="0" readingOrder="0"/>
      <border outline="0">
        <right style="thin">
          <color theme="1"/>
        </right>
      </border>
    </dxf>
    <dxf>
      <fill>
        <patternFill patternType="solid">
          <fgColor indexed="64"/>
          <bgColor rgb="FFEFE5F7"/>
        </patternFill>
      </fill>
      <alignment horizontal="center" vertical="center" textRotation="0" indent="0" justifyLastLine="0" shrinkToFit="0" readingOrder="0"/>
      <border outline="0">
        <right style="thin">
          <color theme="1"/>
        </right>
      </border>
    </dxf>
    <dxf>
      <fill>
        <patternFill patternType="solid">
          <fgColor indexed="64"/>
          <bgColor rgb="FFEFE5F7"/>
        </patternFill>
      </fill>
      <alignment horizontal="center" vertical="center" textRotation="0" indent="0" justifyLastLine="0" shrinkToFit="0" readingOrder="0"/>
      <border outline="0">
        <right style="thin">
          <color theme="1"/>
        </right>
      </border>
    </dxf>
    <dxf>
      <fill>
        <patternFill patternType="solid">
          <fgColor indexed="64"/>
          <bgColor rgb="FFEFE5F7"/>
        </patternFill>
      </fill>
      <alignment horizontal="center" vertical="center" textRotation="0" indent="0" justifyLastLine="0" shrinkToFit="0" readingOrder="0"/>
      <border outline="0">
        <right style="thin">
          <color theme="1"/>
        </right>
      </border>
    </dxf>
    <dxf>
      <fill>
        <patternFill patternType="solid">
          <fgColor indexed="64"/>
          <bgColor rgb="FFEFE5F7"/>
        </patternFill>
      </fill>
      <alignment horizontal="center" vertical="center" textRotation="0" indent="0" justifyLastLine="0" shrinkToFit="0" readingOrder="0"/>
      <border outline="0">
        <right style="thin">
          <color theme="1"/>
        </right>
      </border>
    </dxf>
    <dxf>
      <font>
        <b val="0"/>
        <i val="0"/>
        <strike val="0"/>
        <condense val="0"/>
        <extend val="0"/>
        <outline val="0"/>
        <shadow val="0"/>
        <u val="none"/>
        <vertAlign val="baseline"/>
        <sz val="11"/>
        <color theme="1"/>
        <name val="Calibri"/>
        <family val="2"/>
        <scheme val="minor"/>
      </font>
      <fill>
        <patternFill patternType="solid">
          <fgColor indexed="64"/>
          <bgColor theme="3"/>
        </patternFill>
      </fill>
      <alignment horizontal="center" vertical="center" textRotation="0" wrapText="1" indent="0" justifyLastLine="0" shrinkToFit="0" readingOrder="0"/>
      <border diagonalUp="0" diagonalDown="0">
        <left style="thin">
          <color theme="1"/>
        </left>
        <right/>
        <top style="thin">
          <color theme="1"/>
        </top>
        <bottom/>
        <vertical/>
        <horizontal/>
      </border>
    </dxf>
    <dxf>
      <fill>
        <patternFill patternType="solid">
          <fgColor indexed="64"/>
          <bgColor rgb="FF01A5BB"/>
        </patternFill>
      </fill>
      <alignment horizontal="center" vertical="center" textRotation="0" indent="0" justifyLastLine="0" shrinkToFit="0" readingOrder="0"/>
      <border outline="0">
        <right style="thin">
          <color theme="1"/>
        </right>
      </border>
    </dxf>
    <dxf>
      <fill>
        <patternFill patternType="solid">
          <fgColor indexed="64"/>
          <bgColor theme="3"/>
        </patternFill>
      </fill>
      <alignment horizontal="center" vertical="center" textRotation="0" wrapText="1" indent="0" justifyLastLine="0" shrinkToFit="0" readingOrder="0"/>
      <border diagonalUp="0" diagonalDown="0">
        <left style="thin">
          <color theme="1"/>
        </left>
        <right/>
        <top style="thin">
          <color theme="1"/>
        </top>
        <bottom/>
        <vertical/>
        <horizontal/>
      </border>
    </dxf>
    <dxf>
      <fill>
        <patternFill patternType="solid">
          <fgColor indexed="64"/>
          <bgColor rgb="FF01A5BB"/>
        </patternFill>
      </fill>
      <alignment horizontal="center" vertical="center" textRotation="0" indent="0" justifyLastLine="0" shrinkToFit="0" readingOrder="0"/>
      <border outline="0">
        <left/>
        <right style="thin">
          <color theme="1"/>
        </right>
      </border>
    </dxf>
    <dxf>
      <font>
        <b val="0"/>
        <i val="0"/>
        <strike val="0"/>
        <condense val="0"/>
        <extend val="0"/>
        <outline val="0"/>
        <shadow val="0"/>
        <u val="none"/>
        <vertAlign val="baseline"/>
        <sz val="11"/>
        <color theme="1"/>
        <name val="Calibri"/>
        <family val="2"/>
        <scheme val="minor"/>
      </font>
      <fill>
        <patternFill patternType="solid">
          <fgColor indexed="64"/>
          <bgColor theme="3"/>
        </patternFill>
      </fill>
      <alignment horizontal="center" vertical="center" textRotation="0" wrapText="1" indent="0" justifyLastLine="0" shrinkToFit="0" readingOrder="0"/>
      <border diagonalUp="0" diagonalDown="0">
        <left style="thin">
          <color theme="1"/>
        </left>
        <right/>
        <top style="thin">
          <color theme="1"/>
        </top>
        <bottom/>
        <vertical/>
        <horizontal/>
      </border>
    </dxf>
    <dxf>
      <fill>
        <patternFill patternType="solid">
          <fgColor indexed="64"/>
          <bgColor rgb="FF01A5BB"/>
        </patternFill>
      </fill>
      <alignment horizontal="center" vertical="center" textRotation="0" indent="0" justifyLastLine="0" shrinkToFit="0" readingOrder="0"/>
      <border outline="0">
        <left/>
        <right style="thin">
          <color theme="1"/>
        </right>
      </border>
    </dxf>
    <dxf>
      <font>
        <b val="0"/>
        <i val="0"/>
        <strike val="0"/>
        <condense val="0"/>
        <extend val="0"/>
        <outline val="0"/>
        <shadow val="0"/>
        <u val="none"/>
        <vertAlign val="baseline"/>
        <sz val="11"/>
        <color theme="1"/>
        <name val="Calibri"/>
        <family val="2"/>
        <scheme val="minor"/>
      </font>
      <fill>
        <patternFill patternType="solid">
          <fgColor indexed="64"/>
          <bgColor theme="3"/>
        </patternFill>
      </fill>
      <alignment horizontal="center" vertical="center" textRotation="0" wrapText="1" indent="0" justifyLastLine="0" shrinkToFit="0" readingOrder="0"/>
      <border diagonalUp="0" diagonalDown="0">
        <left style="thin">
          <color theme="1"/>
        </left>
        <right/>
        <top style="thin">
          <color theme="1"/>
        </top>
        <bottom/>
        <vertical/>
        <horizontal/>
      </border>
    </dxf>
    <dxf>
      <fill>
        <patternFill patternType="solid">
          <fgColor indexed="64"/>
          <bgColor rgb="FF01A5BB"/>
        </patternFill>
      </fill>
      <alignment horizontal="center" vertical="center" textRotation="0" indent="0" justifyLastLine="0" shrinkToFit="0" readingOrder="0"/>
      <border outline="0">
        <left/>
        <right style="thin">
          <color theme="1"/>
        </right>
      </border>
    </dxf>
    <dxf>
      <fill>
        <patternFill patternType="solid">
          <fgColor indexed="64"/>
          <bgColor theme="3"/>
        </patternFill>
      </fill>
      <alignment horizontal="center" vertical="center" textRotation="0" wrapText="1" indent="0" justifyLastLine="0" shrinkToFit="0" readingOrder="0"/>
      <border outline="0">
        <right style="thin">
          <color theme="1"/>
        </right>
      </border>
    </dxf>
    <dxf>
      <fill>
        <patternFill patternType="solid">
          <fgColor indexed="64"/>
          <bgColor rgb="FF01A5BB"/>
        </patternFill>
      </fill>
      <alignment horizontal="center" vertical="center" textRotation="0" indent="0" justifyLastLine="0" shrinkToFit="0" readingOrder="0"/>
      <border outline="0">
        <left/>
        <right style="thin">
          <color theme="1"/>
        </right>
      </border>
    </dxf>
    <dxf>
      <fill>
        <patternFill patternType="solid">
          <fgColor indexed="64"/>
          <bgColor theme="3"/>
        </patternFill>
      </fill>
      <alignment horizontal="center" vertical="center" textRotation="0" wrapText="1" indent="0" justifyLastLine="0" shrinkToFit="0" readingOrder="0"/>
      <border outline="0">
        <right style="thin">
          <color theme="1"/>
        </right>
      </border>
    </dxf>
    <dxf>
      <fill>
        <patternFill patternType="solid">
          <fgColor indexed="64"/>
          <bgColor rgb="FF01A5BB"/>
        </patternFill>
      </fill>
      <alignment horizontal="center" vertical="center" textRotation="0" indent="0" justifyLastLine="0" shrinkToFit="0" readingOrder="0"/>
      <border outline="0">
        <right style="thin">
          <color theme="1"/>
        </right>
      </border>
    </dxf>
    <dxf>
      <fill>
        <patternFill patternType="solid">
          <fgColor indexed="64"/>
          <bgColor rgb="FF01CDE9"/>
        </patternFill>
      </fill>
      <alignment horizontal="center" vertical="center" textRotation="0" indent="0" justifyLastLine="0" shrinkToFit="0" readingOrder="0"/>
      <border outline="0">
        <right style="thin">
          <color theme="1"/>
        </right>
      </border>
    </dxf>
    <dxf>
      <fill>
        <patternFill patternType="solid">
          <fgColor indexed="64"/>
          <bgColor rgb="FF01CDE9"/>
        </patternFill>
      </fill>
      <alignment horizontal="center" vertical="center" textRotation="0" indent="0" justifyLastLine="0" shrinkToFit="0" readingOrder="0"/>
      <border outline="0">
        <right style="thin">
          <color theme="1"/>
        </right>
      </border>
    </dxf>
    <dxf>
      <fill>
        <patternFill patternType="solid">
          <fgColor indexed="64"/>
          <bgColor rgb="FF01CDE9"/>
        </patternFill>
      </fill>
      <alignment horizontal="center" vertical="center" textRotation="0" indent="0" justifyLastLine="0" shrinkToFit="0" readingOrder="0"/>
      <border outline="0">
        <right style="thin">
          <color theme="1"/>
        </right>
      </border>
    </dxf>
    <dxf>
      <fill>
        <patternFill patternType="solid">
          <fgColor indexed="64"/>
          <bgColor rgb="FF66ECFE"/>
        </patternFill>
      </fill>
      <alignment horizontal="center" vertical="center" textRotation="0" indent="0" justifyLastLine="0" shrinkToFit="0" readingOrder="0"/>
      <border outline="0">
        <right style="thin">
          <color theme="1"/>
        </right>
      </border>
    </dxf>
    <dxf>
      <fill>
        <patternFill patternType="solid">
          <fgColor indexed="64"/>
          <bgColor rgb="FF66ECFE"/>
        </patternFill>
      </fill>
      <alignment horizontal="center" vertical="center" textRotation="0" indent="0" justifyLastLine="0" shrinkToFit="0" readingOrder="0"/>
      <border outline="0">
        <right style="thin">
          <color theme="1"/>
        </right>
      </border>
    </dxf>
    <dxf>
      <fill>
        <patternFill patternType="solid">
          <fgColor indexed="64"/>
          <bgColor rgb="FF66ECFE"/>
        </patternFill>
      </fill>
      <alignment horizontal="center" vertical="center" textRotation="0" indent="0" justifyLastLine="0" shrinkToFit="0" readingOrder="0"/>
      <border outline="0">
        <right style="thin">
          <color theme="1"/>
        </right>
      </border>
    </dxf>
    <dxf>
      <fill>
        <patternFill patternType="solid">
          <fgColor indexed="64"/>
          <bgColor rgb="FF66ECFE"/>
        </patternFill>
      </fill>
      <alignment horizontal="center" vertical="center" textRotation="0" indent="0" justifyLastLine="0" shrinkToFit="0" readingOrder="0"/>
      <border outline="0">
        <right style="thin">
          <color theme="1"/>
        </right>
      </border>
    </dxf>
    <dxf>
      <fill>
        <patternFill patternType="solid">
          <fgColor indexed="64"/>
          <bgColor rgb="FFBEF6FE"/>
        </patternFill>
      </fill>
      <alignment horizontal="center" vertical="center" textRotation="0" indent="0" justifyLastLine="0" shrinkToFit="0" readingOrder="0"/>
      <border outline="0">
        <right style="thin">
          <color theme="1"/>
        </right>
      </border>
    </dxf>
    <dxf>
      <fill>
        <patternFill patternType="solid">
          <fgColor indexed="64"/>
          <bgColor rgb="FFBEF6FE"/>
        </patternFill>
      </fill>
      <alignment horizontal="center" vertical="center" textRotation="0" indent="0" justifyLastLine="0" shrinkToFit="0" readingOrder="0"/>
      <border outline="0">
        <right style="thin">
          <color theme="1"/>
        </right>
      </border>
    </dxf>
    <dxf>
      <fill>
        <patternFill patternType="solid">
          <fgColor indexed="64"/>
          <bgColor rgb="FFBEF6FE"/>
        </patternFill>
      </fill>
      <alignment horizontal="center" vertical="center" textRotation="0" indent="0" justifyLastLine="0" shrinkToFit="0" readingOrder="0"/>
      <border outline="0">
        <left/>
        <right style="thin">
          <color theme="1"/>
        </right>
      </border>
    </dxf>
    <dxf>
      <font>
        <b val="0"/>
        <i val="0"/>
        <strike val="0"/>
        <condense val="0"/>
        <extend val="0"/>
        <outline val="0"/>
        <shadow val="0"/>
        <u val="none"/>
        <vertAlign val="baseline"/>
        <sz val="11"/>
        <color auto="1"/>
        <name val="Calibri"/>
        <family val="2"/>
        <scheme val="minor"/>
      </font>
      <fill>
        <patternFill patternType="solid">
          <fgColor indexed="64"/>
          <bgColor theme="3"/>
        </patternFill>
      </fill>
      <alignment horizontal="center" vertical="center" textRotation="0" wrapText="1" indent="0" justifyLastLine="0" shrinkToFit="0" readingOrder="0"/>
      <border diagonalUp="0" diagonalDown="0" outline="0">
        <left style="thin">
          <color theme="1"/>
        </left>
        <right/>
        <top style="thin">
          <color theme="1"/>
        </top>
        <bottom/>
      </border>
    </dxf>
    <dxf>
      <fill>
        <patternFill patternType="solid">
          <fgColor indexed="64"/>
          <bgColor rgb="FFFFC1C1"/>
        </patternFill>
      </fill>
      <alignment horizontal="center" vertical="center" textRotation="0" indent="0" justifyLastLine="0" shrinkToFit="0" readingOrder="0"/>
      <border outline="0">
        <left/>
        <right style="thin">
          <color theme="1"/>
        </right>
      </border>
    </dxf>
    <dxf>
      <font>
        <b val="0"/>
        <i val="0"/>
        <strike val="0"/>
        <condense val="0"/>
        <extend val="0"/>
        <outline val="0"/>
        <shadow val="0"/>
        <u val="none"/>
        <vertAlign val="baseline"/>
        <sz val="11"/>
        <color auto="1"/>
        <name val="Calibri"/>
        <family val="2"/>
        <scheme val="minor"/>
      </font>
      <fill>
        <patternFill patternType="solid">
          <fgColor indexed="64"/>
          <bgColor theme="3"/>
        </patternFill>
      </fill>
      <alignment horizontal="center"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3"/>
        </patternFill>
      </fill>
      <alignment horizontal="center"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3"/>
        </patternFill>
      </fill>
      <alignment horizontal="center"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3"/>
        </patternFill>
      </fill>
      <alignment horizontal="center"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3"/>
        </patternFill>
      </fill>
      <alignment horizontal="center"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3"/>
        </patternFill>
      </fill>
      <alignment horizontal="center"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3"/>
        </patternFill>
      </fill>
      <alignment horizontal="center" vertical="center" textRotation="0" wrapText="0" indent="0" justifyLastLine="0" shrinkToFit="0" readingOrder="0"/>
      <border diagonalUp="0" diagonalDown="0" outline="0">
        <left style="thin">
          <color theme="1"/>
        </left>
        <right/>
        <top style="thin">
          <color theme="1"/>
        </top>
        <bottom/>
      </border>
    </dxf>
    <dxf>
      <fill>
        <patternFill patternType="solid">
          <fgColor indexed="64"/>
          <bgColor rgb="FFFFC1C1"/>
        </patternFill>
      </fill>
      <alignment horizontal="center" vertical="center" textRotation="0" indent="0" justifyLastLine="0" shrinkToFit="0" readingOrder="0"/>
      <border outline="0">
        <right style="thin">
          <color theme="1"/>
        </right>
      </border>
    </dxf>
    <dxf>
      <fill>
        <patternFill patternType="solid">
          <fgColor indexed="64"/>
          <bgColor theme="7" tint="-0.249977111117893"/>
        </patternFill>
      </fill>
      <alignment horizontal="center" vertical="center" textRotation="0" indent="0" justifyLastLine="0" shrinkToFit="0" readingOrder="0"/>
      <border outline="0">
        <right style="thin">
          <color theme="1"/>
        </right>
      </border>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right/>
        <top style="thin">
          <color theme="1"/>
        </top>
        <bottom/>
      </border>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right style="thin">
          <color theme="1"/>
        </right>
        <top style="thin">
          <color theme="1"/>
        </top>
        <bottom/>
      </border>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3"/>
        </patternFill>
      </fill>
      <alignment horizontal="center"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3"/>
        </patternFill>
      </fill>
      <alignment horizontal="center" vertical="center" textRotation="0" wrapText="0" indent="0" justifyLastLine="0" shrinkToFit="0" readingOrder="0"/>
      <border diagonalUp="0" diagonalDown="0">
        <left style="thin">
          <color theme="1"/>
        </left>
        <right/>
        <top style="thin">
          <color theme="1"/>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3"/>
        </patternFill>
      </fill>
      <alignment horizontal="center" vertical="center" textRotation="0" wrapText="0" indent="0" justifyLastLine="0" shrinkToFit="0" readingOrder="0"/>
      <border diagonalUp="0" diagonalDown="0" outline="0">
        <left style="thin">
          <color theme="1"/>
        </left>
        <right/>
        <top style="thin">
          <color theme="1"/>
        </top>
        <bottom/>
      </border>
    </dxf>
    <dxf>
      <fill>
        <patternFill patternType="solid">
          <fgColor indexed="64"/>
          <bgColor theme="7" tint="0.59999389629810485"/>
        </patternFill>
      </fill>
      <alignment horizontal="center" vertical="center" textRotation="0" indent="0" justifyLastLine="0" shrinkToFit="0" readingOrder="0"/>
      <border outline="0">
        <left/>
        <right style="thin">
          <color theme="1"/>
        </right>
      </border>
    </dxf>
    <dxf>
      <fill>
        <patternFill patternType="solid">
          <fgColor indexed="64"/>
          <bgColor theme="7" tint="0.59999389629810485"/>
        </patternFill>
      </fill>
      <alignment horizontal="center" vertical="center" textRotation="0" indent="0" justifyLastLine="0" shrinkToFit="0" readingOrder="0"/>
      <border outline="0">
        <left/>
        <right style="thin">
          <color theme="1"/>
        </right>
      </border>
    </dxf>
    <dxf>
      <fill>
        <patternFill patternType="solid">
          <fgColor indexed="64"/>
          <bgColor theme="7" tint="0.59999389629810485"/>
        </patternFill>
      </fill>
      <alignment horizontal="center" vertical="center" textRotation="0" indent="0" justifyLastLine="0" shrinkToFit="0" readingOrder="0"/>
      <border outline="0">
        <right style="thin">
          <color theme="1"/>
        </right>
      </border>
    </dxf>
    <dxf>
      <fill>
        <patternFill patternType="solid">
          <fgColor indexed="64"/>
          <bgColor theme="7" tint="0.59999389629810485"/>
        </patternFill>
      </fill>
      <alignment horizontal="center" vertical="center" textRotation="0" indent="0" justifyLastLine="0" shrinkToFit="0" readingOrder="0"/>
      <border outline="0">
        <right style="thin">
          <color theme="1"/>
        </right>
      </border>
    </dxf>
    <dxf>
      <fill>
        <patternFill patternType="solid">
          <fgColor indexed="64"/>
          <bgColor theme="7" tint="0.59999389629810485"/>
        </patternFill>
      </fill>
      <alignment horizontal="center" vertical="center" textRotation="0" indent="0" justifyLastLine="0" shrinkToFit="0" readingOrder="0"/>
      <border outline="0">
        <right style="thin">
          <color theme="1"/>
        </right>
      </border>
    </dxf>
    <dxf>
      <fill>
        <patternFill patternType="solid">
          <fgColor indexed="64"/>
          <bgColor theme="7" tint="0.59999389629810485"/>
        </patternFill>
      </fill>
      <alignment horizontal="center" vertical="center" textRotation="0" indent="0" justifyLastLine="0" shrinkToFit="0" readingOrder="0"/>
      <border outline="0">
        <left/>
        <right style="thin">
          <color theme="1"/>
        </right>
      </border>
    </dxf>
    <dxf>
      <font>
        <b val="0"/>
        <i val="0"/>
        <strike val="0"/>
        <condense val="0"/>
        <extend val="0"/>
        <outline val="0"/>
        <shadow val="0"/>
        <u val="none"/>
        <vertAlign val="baseline"/>
        <sz val="11"/>
        <color auto="1"/>
        <name val="Calibri"/>
        <family val="2"/>
        <scheme val="minor"/>
      </font>
      <fill>
        <patternFill patternType="solid">
          <fgColor indexed="64"/>
          <bgColor theme="3"/>
        </patternFill>
      </fill>
      <alignment horizontal="center" vertical="center" textRotation="0" wrapText="1" indent="0" justifyLastLine="0" shrinkToFit="0" readingOrder="0"/>
      <border diagonalUp="0" diagonalDown="0" outline="0">
        <left/>
        <right/>
        <top style="thin">
          <color theme="1"/>
        </top>
        <bottom/>
      </border>
    </dxf>
    <dxf>
      <font>
        <b val="0"/>
        <i val="0"/>
        <strike val="0"/>
        <condense val="0"/>
        <extend val="0"/>
        <outline val="0"/>
        <shadow val="0"/>
        <u val="none"/>
        <vertAlign val="baseline"/>
        <sz val="11"/>
        <color auto="1"/>
        <name val="Calibri"/>
        <family val="2"/>
        <scheme val="minor"/>
      </font>
      <fill>
        <patternFill patternType="solid">
          <fgColor indexed="64"/>
          <bgColor theme="3"/>
        </patternFill>
      </fill>
      <alignment horizontal="center" vertical="center" textRotation="0" wrapText="1" indent="0" justifyLastLine="0" shrinkToFit="0" readingOrder="0"/>
      <border diagonalUp="0" diagonalDown="0" outline="0">
        <left/>
        <right style="thin">
          <color theme="1"/>
        </right>
        <top style="thin">
          <color theme="1"/>
        </top>
        <bottom/>
      </border>
    </dxf>
    <dxf>
      <font>
        <b val="0"/>
        <i val="0"/>
        <strike val="0"/>
        <condense val="0"/>
        <extend val="0"/>
        <outline val="0"/>
        <shadow val="0"/>
        <u val="none"/>
        <vertAlign val="baseline"/>
        <sz val="11"/>
        <color auto="1"/>
        <name val="Calibri"/>
        <family val="2"/>
        <scheme val="minor"/>
      </font>
      <fill>
        <patternFill patternType="solid">
          <fgColor indexed="64"/>
          <bgColor theme="7" tint="0.59999389629810485"/>
        </patternFill>
      </fill>
      <alignment horizontal="center" vertical="center" textRotation="0" wrapText="1" indent="0" justifyLastLine="0" shrinkToFit="0" readingOrder="0"/>
      <border diagonalUp="0" diagonalDown="0" outline="0">
        <left style="thin">
          <color theme="1"/>
        </left>
        <right style="thin">
          <color theme="1"/>
        </right>
        <top style="thin">
          <color theme="1"/>
        </top>
        <bottom/>
      </border>
    </dxf>
    <dxf>
      <fill>
        <patternFill patternType="solid">
          <fgColor indexed="64"/>
          <bgColor theme="7" tint="0.79998168889431442"/>
        </patternFill>
      </fill>
      <alignment horizontal="center" vertical="center" textRotation="0" indent="0" justifyLastLine="0" shrinkToFit="0" readingOrder="0"/>
      <border outline="0">
        <left/>
        <right style="thin">
          <color theme="1"/>
        </right>
      </border>
    </dxf>
    <dxf>
      <font>
        <strike val="0"/>
        <outline val="0"/>
        <shadow val="0"/>
        <u val="none"/>
        <vertAlign val="baseline"/>
        <sz val="11"/>
        <color theme="0"/>
        <name val="Calibri"/>
        <family val="2"/>
        <scheme val="minor"/>
      </font>
      <fill>
        <patternFill patternType="solid">
          <fgColor indexed="64"/>
          <bgColor theme="3"/>
        </patternFill>
      </fill>
      <alignment horizontal="center" vertical="center" textRotation="0" indent="0" justifyLastLine="0" shrinkToFit="0" readingOrder="0"/>
      <border outline="0">
        <right style="thin">
          <color theme="1"/>
        </right>
      </border>
    </dxf>
    <dxf>
      <font>
        <strike val="0"/>
        <outline val="0"/>
        <shadow val="0"/>
        <u val="none"/>
        <vertAlign val="baseline"/>
        <sz val="11"/>
        <color theme="0"/>
        <name val="Calibri"/>
        <family val="2"/>
        <scheme val="minor"/>
      </font>
      <fill>
        <patternFill patternType="solid">
          <fgColor indexed="64"/>
          <bgColor theme="4" tint="-0.249977111117893"/>
        </patternFill>
      </fill>
      <alignment horizontal="center" vertical="center" textRotation="0" indent="0" justifyLastLine="0" shrinkToFit="0" readingOrder="0"/>
      <border outline="0">
        <left/>
        <right style="thin">
          <color theme="1"/>
        </right>
      </border>
    </dxf>
    <dxf>
      <font>
        <strike val="0"/>
        <outline val="0"/>
        <shadow val="0"/>
        <u val="none"/>
        <vertAlign val="baseline"/>
        <sz val="11"/>
        <color theme="0"/>
        <name val="Calibri"/>
        <family val="2"/>
        <scheme val="minor"/>
      </font>
      <fill>
        <patternFill patternType="solid">
          <fgColor indexed="64"/>
          <bgColor theme="4" tint="-0.249977111117893"/>
        </patternFill>
      </fill>
      <alignment horizontal="center" vertical="center" textRotation="0" indent="0" justifyLastLine="0" shrinkToFit="0" readingOrder="0"/>
      <border outline="0">
        <left/>
        <right style="thin">
          <color theme="1"/>
        </right>
      </border>
    </dxf>
    <dxf>
      <font>
        <strike val="0"/>
        <outline val="0"/>
        <shadow val="0"/>
        <u val="none"/>
        <vertAlign val="baseline"/>
        <sz val="11"/>
        <color theme="0"/>
        <name val="Calibri"/>
        <family val="2"/>
        <scheme val="minor"/>
      </font>
      <fill>
        <patternFill patternType="solid">
          <fgColor indexed="64"/>
          <bgColor theme="4" tint="-0.249977111117893"/>
        </patternFill>
      </fill>
      <alignment horizontal="center" vertical="center" textRotation="0" wrapText="1" indent="0" justifyLastLine="0" shrinkToFit="0" readingOrder="0"/>
      <border outline="0">
        <right style="thin">
          <color theme="1"/>
        </right>
      </border>
    </dxf>
    <dxf>
      <fill>
        <patternFill patternType="solid">
          <fgColor indexed="64"/>
          <bgColor theme="4" tint="0.39997558519241921"/>
        </patternFill>
      </fill>
      <alignment horizontal="center" vertical="center" textRotation="0" indent="0" justifyLastLine="0" shrinkToFit="0" readingOrder="0"/>
      <border outline="0">
        <right style="thin">
          <color theme="1"/>
        </right>
      </border>
    </dxf>
    <dxf>
      <fill>
        <patternFill patternType="solid">
          <fgColor indexed="64"/>
          <bgColor theme="4" tint="0.39997558519241921"/>
        </patternFill>
      </fill>
      <alignment horizontal="center" vertical="center" textRotation="0" indent="0" justifyLastLine="0" shrinkToFit="0" readingOrder="0"/>
      <border outline="0">
        <left/>
        <right style="thin">
          <color theme="1"/>
        </right>
      </border>
    </dxf>
    <dxf>
      <fill>
        <patternFill patternType="solid">
          <fgColor indexed="64"/>
          <bgColor theme="3"/>
        </patternFill>
      </fill>
      <alignment horizontal="center" vertical="center" textRotation="0" indent="0" justifyLastLine="0" shrinkToFit="0" readingOrder="0"/>
      <border outline="0">
        <right style="thin">
          <color theme="1"/>
        </right>
      </border>
    </dxf>
    <dxf>
      <fill>
        <patternFill patternType="solid">
          <fgColor indexed="64"/>
          <bgColor theme="4" tint="0.39997558519241921"/>
        </patternFill>
      </fill>
      <alignment horizontal="center" vertical="center" textRotation="0" indent="0" justifyLastLine="0" shrinkToFit="0" readingOrder="0"/>
      <border outline="0">
        <right style="thin">
          <color theme="1"/>
        </right>
      </border>
    </dxf>
    <dxf>
      <fill>
        <patternFill patternType="solid">
          <fgColor indexed="64"/>
          <bgColor theme="4" tint="0.59999389629810485"/>
        </patternFill>
      </fill>
      <alignment horizontal="center" vertical="center" textRotation="0" indent="0" justifyLastLine="0" shrinkToFit="0" readingOrder="0"/>
      <border outline="0">
        <right style="thin">
          <color theme="1"/>
        </right>
      </border>
    </dxf>
    <dxf>
      <fill>
        <patternFill patternType="solid">
          <fgColor indexed="64"/>
          <bgColor theme="4" tint="0.59999389629810485"/>
        </patternFill>
      </fill>
      <alignment horizontal="center" vertical="center" textRotation="0" indent="0" justifyLastLine="0" shrinkToFit="0" readingOrder="0"/>
      <border outline="0">
        <right style="thin">
          <color theme="1"/>
        </right>
      </border>
    </dxf>
    <dxf>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theme="1"/>
        </left>
        <right/>
        <top style="thin">
          <color theme="1"/>
        </top>
        <bottom/>
        <vertical/>
        <horizontal/>
      </border>
    </dxf>
    <dxf>
      <fill>
        <patternFill patternType="solid">
          <fgColor indexed="64"/>
          <bgColor theme="4" tint="0.79998168889431442"/>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4" tint="0.79998168889431442"/>
        </patternFill>
      </fil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4" tint="0.79998168889431442"/>
        </patternFill>
      </fill>
      <alignment horizontal="center" vertical="center" textRotation="0" indent="0" justifyLastLine="0" shrinkToFit="0" readingOrder="0"/>
    </dxf>
    <dxf>
      <numFmt numFmtId="164" formatCode="[$-F800]dddd\,\ mmmm\ dd\,\ yyyy"/>
      <fill>
        <patternFill patternType="solid">
          <fgColor indexed="64"/>
          <bgColor theme="4" tint="0.79998168889431442"/>
        </patternFill>
      </fill>
      <alignment horizontal="center" vertical="center" textRotation="0" indent="0" justifyLastLine="0" shrinkToFit="0" readingOrder="0"/>
    </dxf>
    <dxf>
      <numFmt numFmtId="164" formatCode="[$-F800]dddd\,\ mmmm\ dd\,\ yyyy"/>
      <fill>
        <patternFill patternType="solid">
          <fgColor indexed="64"/>
          <bgColor theme="4" tint="0.79998168889431442"/>
        </patternFill>
      </fill>
      <alignment horizontal="center" vertical="center" textRotation="0" indent="0" justifyLastLine="0" shrinkToFit="0" readingOrder="0"/>
    </dxf>
    <dxf>
      <fill>
        <patternFill patternType="solid">
          <fgColor indexed="64"/>
          <bgColor theme="4" tint="0.79998168889431442"/>
        </patternFill>
      </fill>
      <alignment horizontal="center" vertical="center" textRotation="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dxf>
    <dxf>
      <fill>
        <patternFill patternType="solid">
          <fgColor indexed="64"/>
          <bgColor theme="5" tint="0.79998168889431442"/>
        </patternFill>
      </fill>
      <alignment horizontal="center" vertical="center" textRotation="0" indent="0" justifyLastLine="0" shrinkToFit="0" readingOrder="0"/>
    </dxf>
    <dxf>
      <fill>
        <patternFill patternType="solid">
          <fgColor indexed="64"/>
          <bgColor theme="5" tint="0.79998168889431442"/>
        </patternFill>
      </fill>
      <alignment horizontal="center" vertical="center" textRotation="0" indent="0" justifyLastLine="0" shrinkToFit="0" readingOrder="0"/>
    </dxf>
    <dxf>
      <fill>
        <patternFill patternType="solid">
          <fgColor indexed="64"/>
          <bgColor theme="5" tint="0.79998168889431442"/>
        </patternFill>
      </fill>
      <alignment horizontal="center" vertical="center" textRotation="0" indent="0" justifyLastLine="0" shrinkToFit="0" readingOrder="0"/>
    </dxf>
    <dxf>
      <fill>
        <patternFill patternType="solid">
          <fgColor indexed="64"/>
          <bgColor theme="5" tint="0.79998168889431442"/>
        </patternFill>
      </fill>
      <alignment horizontal="center" vertical="center" textRotation="0" wrapText="0" indent="0" justifyLastLine="0" shrinkToFit="0" readingOrder="0"/>
    </dxf>
    <dxf>
      <fill>
        <patternFill patternType="solid">
          <fgColor indexed="64"/>
          <bgColor theme="5" tint="0.79998168889431442"/>
        </patternFill>
      </fill>
      <alignment horizontal="center" vertical="center" textRotation="0" indent="0" justifyLastLine="0" shrinkToFit="0" readingOrder="0"/>
    </dxf>
    <dxf>
      <font>
        <strike val="0"/>
        <outline val="0"/>
        <shadow val="0"/>
        <u val="none"/>
        <vertAlign val="baseline"/>
        <sz val="11"/>
        <color theme="0"/>
        <name val="Calibri"/>
        <family val="2"/>
        <scheme val="minor"/>
      </font>
      <fill>
        <patternFill patternType="solid">
          <fgColor indexed="64"/>
          <bgColor theme="9" tint="-0.249977111117893"/>
        </patternFill>
      </fill>
      <alignment horizontal="center" vertical="center" textRotation="0" wrapText="1" indent="0" justifyLastLine="0" shrinkToFit="0" readingOrder="0"/>
    </dxf>
    <dxf>
      <fill>
        <patternFill patternType="solid">
          <fgColor indexed="64"/>
          <bgColor theme="9" tint="0.59999389629810485"/>
        </patternFill>
      </fill>
      <alignment horizontal="center" vertical="center" textRotation="0" wrapText="1" indent="0" justifyLastLine="0" shrinkToFit="0" readingOrder="0"/>
    </dxf>
    <dxf>
      <fill>
        <patternFill patternType="solid">
          <fgColor indexed="64"/>
          <bgColor theme="3"/>
        </patternFill>
      </fill>
      <alignment horizontal="center" vertical="center" textRotation="0" wrapText="1" indent="0" justifyLastLine="0" shrinkToFit="0" readingOrder="0"/>
    </dxf>
    <dxf>
      <fill>
        <patternFill patternType="solid">
          <fgColor indexed="64"/>
          <bgColor theme="9" tint="0.59999389629810485"/>
        </patternFill>
      </fill>
      <alignment horizontal="center" vertical="center" textRotation="0" indent="0" justifyLastLine="0" shrinkToFit="0" readingOrder="0"/>
    </dxf>
    <dxf>
      <fill>
        <patternFill patternType="solid">
          <fgColor indexed="64"/>
          <bgColor theme="9" tint="0.79998168889431442"/>
        </patternFill>
      </fill>
      <alignment horizontal="center" vertical="center" textRotation="0" wrapText="1" indent="0" justifyLastLine="0" shrinkToFit="0" readingOrder="0"/>
    </dxf>
    <dxf>
      <fill>
        <patternFill patternType="solid">
          <fgColor indexed="64"/>
          <bgColor theme="9" tint="0.79998168889431442"/>
        </patternFill>
      </fill>
      <alignment horizontal="center" vertical="center" textRotation="0" indent="0" justifyLastLine="0" shrinkToFit="0" readingOrder="0"/>
    </dxf>
    <dxf>
      <fill>
        <patternFill patternType="solid">
          <fgColor indexed="64"/>
          <bgColor theme="9" tint="0.79998168889431442"/>
        </patternFill>
      </fill>
      <alignment horizontal="center" vertical="center" textRotation="0" indent="0" justifyLastLine="0" shrinkToFit="0" readingOrder="0"/>
    </dxf>
    <dxf>
      <fill>
        <patternFill patternType="solid">
          <fgColor indexed="64"/>
          <bgColor theme="9" tint="0.79998168889431442"/>
        </patternFill>
      </fill>
      <alignment horizontal="center" vertical="center" textRotation="0" indent="0" justifyLastLine="0" shrinkToFit="0" readingOrder="0"/>
    </dxf>
    <dxf>
      <fill>
        <patternFill patternType="solid">
          <fgColor indexed="64"/>
          <bgColor theme="9" tint="0.79998168889431442"/>
        </patternFill>
      </fill>
      <alignment horizontal="center" vertical="center" textRotation="0" indent="0" justifyLastLine="0" shrinkToFit="0" readingOrder="0"/>
    </dxf>
    <dxf>
      <fill>
        <patternFill patternType="solid">
          <fgColor indexed="64"/>
          <bgColor theme="9" tint="0.79998168889431442"/>
        </patternFill>
      </fill>
      <alignment horizontal="center" vertical="center" textRotation="0" indent="0" justifyLastLine="0" shrinkToFit="0" readingOrder="0"/>
    </dxf>
    <dxf>
      <numFmt numFmtId="30" formatCode="@"/>
      <fill>
        <patternFill patternType="solid">
          <fgColor indexed="64"/>
          <bgColor theme="9" tint="0.79998168889431442"/>
        </patternFill>
      </fill>
      <alignment horizontal="center" vertical="center" textRotation="0" indent="0" justifyLastLine="0" shrinkToFit="0" readingOrder="0"/>
    </dxf>
    <dxf>
      <alignment horizontal="center" vertical="center" textRotation="0" indent="0" justifyLastLine="0" shrinkToFit="0" readingOrder="0"/>
    </dxf>
    <dxf>
      <border>
        <bottom style="medium">
          <color indexed="64"/>
        </bottom>
      </border>
    </dxf>
    <dxf>
      <alignment horizontal="center" vertical="center" textRotation="0" wrapText="1" indent="0" justifyLastLine="0" shrinkToFit="0" readingOrder="0"/>
    </dxf>
    <dxf>
      <fill>
        <patternFill>
          <bgColor rgb="FFFFC1C1"/>
        </patternFill>
      </fill>
    </dxf>
    <dxf>
      <fill>
        <patternFill>
          <bgColor rgb="FFFFC1C1"/>
        </patternFill>
      </fill>
    </dxf>
    <dxf>
      <fill>
        <patternFill>
          <bgColor theme="7" tint="0.59996337778862885"/>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theme="7" tint="0.59996337778862885"/>
        </patternFill>
      </fill>
    </dxf>
    <dxf>
      <fill>
        <patternFill>
          <bgColor rgb="FF01A5BB"/>
        </patternFill>
      </fill>
    </dxf>
    <dxf>
      <fill>
        <patternFill>
          <bgColor rgb="FF01A5BB"/>
        </patternFill>
      </fill>
    </dxf>
    <dxf>
      <fill>
        <patternFill>
          <bgColor rgb="FF01A5BB"/>
        </patternFill>
      </fill>
    </dxf>
    <dxf>
      <fill>
        <patternFill>
          <bgColor rgb="FF01A5BB"/>
        </patternFill>
      </fill>
    </dxf>
    <dxf>
      <fill>
        <patternFill>
          <bgColor rgb="FF01A5BB"/>
        </patternFill>
      </fill>
    </dxf>
    <dxf>
      <fill>
        <patternFill>
          <bgColor rgb="FF01A5BB"/>
        </patternFill>
      </fill>
    </dxf>
    <dxf>
      <fill>
        <patternFill>
          <bgColor rgb="FFFFC1C1"/>
        </patternFill>
      </fill>
    </dxf>
    <dxf>
      <fill>
        <patternFill>
          <bgColor theme="7" tint="0.59996337778862885"/>
        </patternFill>
      </fill>
    </dxf>
    <dxf>
      <fill>
        <patternFill>
          <bgColor theme="7" tint="0.59996337778862885"/>
        </patternFill>
      </fill>
    </dxf>
    <dxf>
      <fill>
        <patternFill>
          <bgColor theme="4" tint="-0.24994659260841701"/>
        </patternFill>
      </fill>
    </dxf>
    <dxf>
      <fill>
        <patternFill>
          <bgColor theme="4" tint="0.39994506668294322"/>
        </patternFill>
      </fill>
    </dxf>
    <dxf>
      <fill>
        <patternFill>
          <bgColor theme="9" tint="0.59996337778862885"/>
        </patternFill>
      </fill>
    </dxf>
  </dxfs>
  <tableStyles count="0" defaultTableStyle="TableStyleMedium2" defaultPivotStyle="PivotStyleLight16"/>
  <colors>
    <mruColors>
      <color rgb="FFFFC1C1"/>
      <color rgb="FF01A5BB"/>
      <color rgb="FF66ECFE"/>
      <color rgb="FFEFE5F7"/>
      <color rgb="FF01CDE9"/>
      <color rgb="FFBEF6FE"/>
      <color rgb="FF017C8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6.wmf"/></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9</xdr:row>
      <xdr:rowOff>65472</xdr:rowOff>
    </xdr:from>
    <xdr:to>
      <xdr:col>10</xdr:col>
      <xdr:colOff>287655</xdr:colOff>
      <xdr:row>33</xdr:row>
      <xdr:rowOff>60317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19125" y="1513272"/>
          <a:ext cx="5768340" cy="43344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19050</xdr:rowOff>
    </xdr:from>
    <xdr:to>
      <xdr:col>4</xdr:col>
      <xdr:colOff>276225</xdr:colOff>
      <xdr:row>4</xdr:row>
      <xdr:rowOff>19050</xdr:rowOff>
    </xdr:to>
    <xdr:pic>
      <xdr:nvPicPr>
        <xdr:cNvPr id="2" name="Picture 6" descr="Forms_grayscale">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5833" t="35043" r="7916" b="6837"/>
        <a:stretch>
          <a:fillRect/>
        </a:stretch>
      </xdr:blipFill>
      <xdr:spPr bwMode="auto">
        <a:xfrm>
          <a:off x="114300" y="19050"/>
          <a:ext cx="1743075"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28575</xdr:colOff>
      <xdr:row>59</xdr:row>
      <xdr:rowOff>66675</xdr:rowOff>
    </xdr:from>
    <xdr:to>
      <xdr:col>4</xdr:col>
      <xdr:colOff>304800</xdr:colOff>
      <xdr:row>63</xdr:row>
      <xdr:rowOff>19050</xdr:rowOff>
    </xdr:to>
    <xdr:pic>
      <xdr:nvPicPr>
        <xdr:cNvPr id="3" name="Picture 6" descr="Forms_grayscale">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15833" t="35043" r="7916" b="6837"/>
        <a:stretch>
          <a:fillRect/>
        </a:stretch>
      </xdr:blipFill>
      <xdr:spPr bwMode="auto">
        <a:xfrm>
          <a:off x="142875" y="9763125"/>
          <a:ext cx="17430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28575</xdr:rowOff>
    </xdr:from>
    <xdr:to>
      <xdr:col>1</xdr:col>
      <xdr:colOff>1743075</xdr:colOff>
      <xdr:row>4</xdr:row>
      <xdr:rowOff>28575</xdr:rowOff>
    </xdr:to>
    <xdr:pic>
      <xdr:nvPicPr>
        <xdr:cNvPr id="2" name="Picture 6" descr="Forms_grayscale">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5833" t="35043" r="7916" b="6837"/>
        <a:stretch>
          <a:fillRect/>
        </a:stretch>
      </xdr:blipFill>
      <xdr:spPr bwMode="auto">
        <a:xfrm>
          <a:off x="104775" y="28575"/>
          <a:ext cx="1743075"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28575</xdr:colOff>
      <xdr:row>58</xdr:row>
      <xdr:rowOff>85725</xdr:rowOff>
    </xdr:from>
    <xdr:to>
      <xdr:col>1</xdr:col>
      <xdr:colOff>1771650</xdr:colOff>
      <xdr:row>63</xdr:row>
      <xdr:rowOff>0</xdr:rowOff>
    </xdr:to>
    <xdr:pic>
      <xdr:nvPicPr>
        <xdr:cNvPr id="3" name="Picture 6" descr="Forms_grayscale">
          <a:extLst>
            <a:ext uri="{FF2B5EF4-FFF2-40B4-BE49-F238E27FC236}">
              <a16:creationId xmlns:a16="http://schemas.microsoft.com/office/drawing/2014/main" id="{00000000-0008-0000-0B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15833" t="35043" r="7916" b="6837"/>
        <a:stretch>
          <a:fillRect/>
        </a:stretch>
      </xdr:blipFill>
      <xdr:spPr bwMode="auto">
        <a:xfrm>
          <a:off x="133350" y="9315450"/>
          <a:ext cx="1743075"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46</xdr:row>
          <xdr:rowOff>0</xdr:rowOff>
        </xdr:from>
        <xdr:to>
          <xdr:col>3</xdr:col>
          <xdr:colOff>640080</xdr:colOff>
          <xdr:row>46</xdr:row>
          <xdr:rowOff>0</xdr:rowOff>
        </xdr:to>
        <xdr:sp macro="" textlink="">
          <xdr:nvSpPr>
            <xdr:cNvPr id="8193" name="Object 1" hidden="1">
              <a:extLst>
                <a:ext uri="{63B3BB69-23CF-44E3-9099-C40C66FF867C}">
                  <a14:compatExt spid="_x0000_s8193"/>
                </a:ext>
                <a:ext uri="{FF2B5EF4-FFF2-40B4-BE49-F238E27FC236}">
                  <a16:creationId xmlns:a16="http://schemas.microsoft.com/office/drawing/2014/main" id="{00000000-0008-0000-0C00-0000012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1</xdr:col>
      <xdr:colOff>0</xdr:colOff>
      <xdr:row>104</xdr:row>
      <xdr:rowOff>0</xdr:rowOff>
    </xdr:from>
    <xdr:to>
      <xdr:col>2</xdr:col>
      <xdr:colOff>190500</xdr:colOff>
      <xdr:row>104</xdr:row>
      <xdr:rowOff>0</xdr:rowOff>
    </xdr:to>
    <xdr:pic>
      <xdr:nvPicPr>
        <xdr:cNvPr id="2" name="Picture 4" descr="Envir_v_color">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18945225"/>
          <a:ext cx="9525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104</xdr:row>
      <xdr:rowOff>0</xdr:rowOff>
    </xdr:from>
    <xdr:to>
      <xdr:col>2</xdr:col>
      <xdr:colOff>57150</xdr:colOff>
      <xdr:row>104</xdr:row>
      <xdr:rowOff>0</xdr:rowOff>
    </xdr:to>
    <xdr:pic>
      <xdr:nvPicPr>
        <xdr:cNvPr id="3" name="Picture 5" descr="Envir_v_color">
          <a:extLst>
            <a:ext uri="{FF2B5EF4-FFF2-40B4-BE49-F238E27FC236}">
              <a16:creationId xmlns:a16="http://schemas.microsoft.com/office/drawing/2014/main" id="{00000000-0008-0000-0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18945225"/>
          <a:ext cx="8191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104</xdr:row>
      <xdr:rowOff>0</xdr:rowOff>
    </xdr:from>
    <xdr:to>
      <xdr:col>2</xdr:col>
      <xdr:colOff>85725</xdr:colOff>
      <xdr:row>104</xdr:row>
      <xdr:rowOff>0</xdr:rowOff>
    </xdr:to>
    <xdr:pic>
      <xdr:nvPicPr>
        <xdr:cNvPr id="4" name="Picture 6" descr="Envir_v_color">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18945225"/>
          <a:ext cx="8477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0</xdr:row>
      <xdr:rowOff>19050</xdr:rowOff>
    </xdr:from>
    <xdr:to>
      <xdr:col>3</xdr:col>
      <xdr:colOff>66675</xdr:colOff>
      <xdr:row>4</xdr:row>
      <xdr:rowOff>19050</xdr:rowOff>
    </xdr:to>
    <xdr:pic>
      <xdr:nvPicPr>
        <xdr:cNvPr id="5" name="Picture 6" descr="Forms_grayscale">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15833" t="35043" r="7916" b="6837"/>
        <a:stretch>
          <a:fillRect/>
        </a:stretch>
      </xdr:blipFill>
      <xdr:spPr bwMode="auto">
        <a:xfrm>
          <a:off x="104775" y="19050"/>
          <a:ext cx="1743075"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0</xdr:colOff>
      <xdr:row>50</xdr:row>
      <xdr:rowOff>104775</xdr:rowOff>
    </xdr:from>
    <xdr:to>
      <xdr:col>3</xdr:col>
      <xdr:colOff>66675</xdr:colOff>
      <xdr:row>53</xdr:row>
      <xdr:rowOff>180975</xdr:rowOff>
    </xdr:to>
    <xdr:pic>
      <xdr:nvPicPr>
        <xdr:cNvPr id="6" name="Picture 6" descr="Forms_grayscale">
          <a:extLst>
            <a:ext uri="{FF2B5EF4-FFF2-40B4-BE49-F238E27FC236}">
              <a16:creationId xmlns:a16="http://schemas.microsoft.com/office/drawing/2014/main" id="{00000000-0008-0000-0C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15833" t="35043" r="7916" b="6837"/>
        <a:stretch>
          <a:fillRect/>
        </a:stretch>
      </xdr:blipFill>
      <xdr:spPr bwMode="auto">
        <a:xfrm>
          <a:off x="104775" y="9210675"/>
          <a:ext cx="1743075"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wendy\AppData\Local\Microsoft\Windows\INetCache\Content.Outlook\Y68ZCFJ3\23XXXX%20-%20XX-XX-XXX-XX%20WX%20DW%20Mud%20Tally%20Spreadsheet.xlsx" TargetMode="External"/><Relationship Id="rId1" Type="http://schemas.openxmlformats.org/officeDocument/2006/relationships/externalLinkPath" Target="/Users/wendy/AppData/Local/Microsoft/Windows/INetCache/Content.Outlook/Y68ZCFJ3/23XXXX%20-%20XX-XX-XXX-XX%20WX%20DW%20Mud%20Tally%20Spreadshe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ud Tally Page - DDR"/>
      <sheetName val="Mud Tally Page - Tours"/>
      <sheetName val="Muds Comparison"/>
      <sheetName val="References &amp; Compliance Option"/>
      <sheetName val="Useful Calculations"/>
      <sheetName val="Muds "/>
    </sheetNames>
    <sheetDataSet>
      <sheetData sheetId="0" refreshError="1"/>
      <sheetData sheetId="1" refreshError="1"/>
      <sheetData sheetId="2" refreshError="1"/>
      <sheetData sheetId="3" refreshError="1"/>
      <sheetData sheetId="4" refreshError="1"/>
      <sheetData sheetId="5">
        <row r="2">
          <cell r="A2" t="str">
            <v>18A12</v>
          </cell>
          <cell r="C2" t="str">
            <v>Liquid PHPA; Flocculants</v>
          </cell>
        </row>
        <row r="3">
          <cell r="A3" t="str">
            <v>2K7 Water Soluble Pak</v>
          </cell>
          <cell r="C3" t="str">
            <v>Myacide Powder; bactericides</v>
          </cell>
        </row>
        <row r="4">
          <cell r="A4" t="str">
            <v>Abandonpak</v>
          </cell>
          <cell r="C4" t="str">
            <v>Mulit0functional packer fluid inhibitor (water soluble); corrosion inhibitor</v>
          </cell>
        </row>
        <row r="5">
          <cell r="A5" t="str">
            <v>Abandonpak (SD)</v>
          </cell>
          <cell r="C5" t="str">
            <v>Self-dispersing, multi-funct packer fluid inhib (water soluble); corrosion inhibitor</v>
          </cell>
        </row>
        <row r="6">
          <cell r="A6" t="str">
            <v>ABI 3/8 Medium Plug</v>
          </cell>
          <cell r="C6" t="str">
            <v>Sized bentonite; Lost Circulation Material</v>
          </cell>
        </row>
        <row r="7">
          <cell r="A7" t="str">
            <v>ABI High Yield Bentonite</v>
          </cell>
          <cell r="C7" t="str">
            <v>Peptized wyoming bentonite; Viscosifiers</v>
          </cell>
        </row>
        <row r="8">
          <cell r="A8" t="str">
            <v>ABI Premium Gel</v>
          </cell>
          <cell r="C8" t="str">
            <v>Wyoming bentonite; Viscosifiers</v>
          </cell>
        </row>
        <row r="9">
          <cell r="A9" t="str">
            <v>ABI Untreated Gel</v>
          </cell>
          <cell r="C9" t="str">
            <v>Untreated wyoming bentonite; Viscosifiers</v>
          </cell>
        </row>
        <row r="10">
          <cell r="A10" t="str">
            <v>Actiguard</v>
          </cell>
          <cell r="C10" t="str">
            <v>Shale &amp; clay inhibitor for Aphron ICS; Shale Control Inhibitors</v>
          </cell>
        </row>
        <row r="11">
          <cell r="A11" t="str">
            <v>Activated Carbon</v>
          </cell>
          <cell r="C11" t="str">
            <v>Charcoal; Surface Active Agents</v>
          </cell>
        </row>
        <row r="12">
          <cell r="A12" t="str">
            <v>Activator I</v>
          </cell>
          <cell r="C12" t="str">
            <v>Thermal stabilizer for APHRON ICS; Polymer Stabilizers</v>
          </cell>
        </row>
        <row r="13">
          <cell r="A13" t="str">
            <v>Activator II</v>
          </cell>
          <cell r="C13" t="str">
            <v>Thermal stabilizer for APHRON ICS; Polymer Stabilizers</v>
          </cell>
        </row>
        <row r="14">
          <cell r="A14" t="str">
            <v>Adapta</v>
          </cell>
          <cell r="C14" t="str">
            <v>Oil mud HTHP filtrate reducer; Filtrate Reducers</v>
          </cell>
        </row>
        <row r="15">
          <cell r="A15" t="str">
            <v>AK-70</v>
          </cell>
          <cell r="C15" t="str">
            <v>Gilsonite; Filtrate Reducers</v>
          </cell>
        </row>
        <row r="16">
          <cell r="A16" t="str">
            <v>Aktaflo-E</v>
          </cell>
          <cell r="C16" t="str">
            <v>Oxyethlated alkyl phenol liquid; emulsifier</v>
          </cell>
        </row>
        <row r="17">
          <cell r="A17" t="str">
            <v>Aktaflo-S</v>
          </cell>
          <cell r="C17" t="str">
            <v>Mixed oxyethylated phenols; Surface Active Agents</v>
          </cell>
        </row>
        <row r="18">
          <cell r="A18" t="str">
            <v>Alcomer 110 RD</v>
          </cell>
          <cell r="C18" t="str">
            <v>High mol wt.anionic dispersible polyacrylamide; Flocculants</v>
          </cell>
        </row>
        <row r="19">
          <cell r="A19" t="str">
            <v>Alcomer 120L</v>
          </cell>
          <cell r="C19" t="str">
            <v>Liquid HMW anionic polyacrylamide; Shale Control Inhibitors</v>
          </cell>
        </row>
        <row r="20">
          <cell r="A20" t="str">
            <v>Alcomer 242</v>
          </cell>
          <cell r="C20" t="str">
            <v>AMPS - polyacrylamiide copolymer; Filtrate Reducers</v>
          </cell>
        </row>
        <row r="21">
          <cell r="A21" t="str">
            <v>Alcomer 274</v>
          </cell>
          <cell r="C21" t="str">
            <v>Liquid anionic acrylic co-polymer emulsion; Viscosifiers</v>
          </cell>
        </row>
        <row r="22">
          <cell r="A22" t="str">
            <v>Alcomer 338 RD</v>
          </cell>
          <cell r="C22" t="str">
            <v>High Mol wt. Anionic polyacrylamide; Flocculants</v>
          </cell>
        </row>
        <row r="23">
          <cell r="A23" t="str">
            <v>Alcomer 60</v>
          </cell>
          <cell r="C23" t="str">
            <v>Shale control inhibitors</v>
          </cell>
        </row>
        <row r="24">
          <cell r="A24" t="str">
            <v>Alcomer 60RD</v>
          </cell>
          <cell r="C24" t="str">
            <v>LMW anionic dispersible PHPA; Shale Control Inhibitors</v>
          </cell>
        </row>
        <row r="25">
          <cell r="A25" t="str">
            <v>Alcomer 72L</v>
          </cell>
          <cell r="C25" t="str">
            <v>Liquid LMW anionic acrylate-based polymer; Thinners, Dispersants</v>
          </cell>
        </row>
        <row r="26">
          <cell r="A26" t="str">
            <v>Alcomer 74</v>
          </cell>
          <cell r="C26" t="str">
            <v>Modified acrylic polymer, calcium stable; Thinners, Dispersants</v>
          </cell>
        </row>
        <row r="27">
          <cell r="A27" t="str">
            <v>Alcomer 74L</v>
          </cell>
          <cell r="C27" t="str">
            <v>Liquid anionic acrylic co-polymer, calcium stable; Thinners, Dispersants</v>
          </cell>
        </row>
        <row r="28">
          <cell r="A28" t="str">
            <v>Alcomer IIORD</v>
          </cell>
          <cell r="C28" t="str">
            <v>HMW anionic dispersible PHPA; Shale Control Inhibitors</v>
          </cell>
        </row>
        <row r="29">
          <cell r="A29" t="str">
            <v>Aldacide</v>
          </cell>
          <cell r="C29" t="str">
            <v>Microbiocide</v>
          </cell>
        </row>
        <row r="30">
          <cell r="A30" t="str">
            <v>Aldacide G</v>
          </cell>
          <cell r="C30" t="str">
            <v>Glutaraldyhyde solution; bactericides</v>
          </cell>
        </row>
        <row r="31">
          <cell r="A31" t="str">
            <v>Alkafloc A-25 D</v>
          </cell>
          <cell r="C31" t="str">
            <v>Dispersible PHPA low viscosity anionic; Shale Control Inhibitors</v>
          </cell>
        </row>
        <row r="32">
          <cell r="A32" t="str">
            <v>Alkafloc EA-73</v>
          </cell>
          <cell r="C32" t="str">
            <v>PHPA emulsion; Shale Control Inhibitors</v>
          </cell>
        </row>
        <row r="33">
          <cell r="A33" t="str">
            <v>Alkafloc EAS</v>
          </cell>
          <cell r="C33" t="str">
            <v>Sulfonated AMPS; Shale Control Inhibitors</v>
          </cell>
        </row>
        <row r="34">
          <cell r="A34" t="str">
            <v>Alkapam</v>
          </cell>
          <cell r="C34" t="str">
            <v>Polyacrylamide; flocculant</v>
          </cell>
        </row>
        <row r="35">
          <cell r="A35" t="str">
            <v>Alkapam 1103</v>
          </cell>
          <cell r="C35" t="str">
            <v>Dispersible PHDA HMW anionic; Flocculant</v>
          </cell>
        </row>
        <row r="36">
          <cell r="A36" t="str">
            <v>Alkapam A-1103 D</v>
          </cell>
          <cell r="C36" t="str">
            <v>Dispersible PHPA HMW anionic; Flocculants</v>
          </cell>
        </row>
        <row r="37">
          <cell r="A37" t="str">
            <v>Alkapam A-1703D</v>
          </cell>
          <cell r="C37" t="str">
            <v>Dispersible PHPA HMW anionic; Viscosifiers</v>
          </cell>
        </row>
        <row r="38">
          <cell r="A38" t="str">
            <v>Alkapam A-25D</v>
          </cell>
          <cell r="C38" t="str">
            <v>Dispersible PHPA low viscosity anionic; Flocculants</v>
          </cell>
        </row>
        <row r="39">
          <cell r="A39" t="str">
            <v>Alkapam C-1803</v>
          </cell>
          <cell r="C39" t="str">
            <v>Cationic; Flocculants</v>
          </cell>
        </row>
        <row r="40">
          <cell r="A40" t="str">
            <v>Alkapam CP787</v>
          </cell>
          <cell r="C40" t="str">
            <v>PHPA cationic HMW; Flocculants</v>
          </cell>
        </row>
        <row r="41">
          <cell r="A41" t="str">
            <v>Alkapam EA-73</v>
          </cell>
          <cell r="C41" t="str">
            <v>Liquid PHPA HMW; Viscosifiers</v>
          </cell>
        </row>
        <row r="42">
          <cell r="A42" t="str">
            <v>Alkapam N 1003 D</v>
          </cell>
          <cell r="C42" t="str">
            <v>Dispersible PHPA MMW non-ionic; Flocculants</v>
          </cell>
        </row>
        <row r="43">
          <cell r="A43" t="str">
            <v>Alkapam N-1103D</v>
          </cell>
          <cell r="C43" t="str">
            <v>Polyacrylamide; Shale Control Inhibitors</v>
          </cell>
        </row>
        <row r="44">
          <cell r="A44" t="str">
            <v>Alkapam S</v>
          </cell>
          <cell r="C44" t="str">
            <v>Polyacrylamides; Flocculants</v>
          </cell>
        </row>
        <row r="45">
          <cell r="A45" t="str">
            <v>All Temp</v>
          </cell>
          <cell r="C45" t="str">
            <v>All temperature polymeric deflocculant; Thinners, Dispersants</v>
          </cell>
        </row>
        <row r="46">
          <cell r="A46" t="str">
            <v>Alphadrill</v>
          </cell>
          <cell r="C46" t="str">
            <v>Liquid shale stabilizer; Shale Control Inhibitors</v>
          </cell>
        </row>
        <row r="47">
          <cell r="A47" t="str">
            <v>Alplex</v>
          </cell>
          <cell r="C47" t="str">
            <v>Inhibitive aluminum complex; Shale Control Inhibitors</v>
          </cell>
        </row>
        <row r="48">
          <cell r="A48" t="str">
            <v>Aluminum Stearate</v>
          </cell>
          <cell r="C48" t="str">
            <v>Aluminum stearate powder; defoamer</v>
          </cell>
        </row>
        <row r="49">
          <cell r="A49" t="str">
            <v>Amberguard 425</v>
          </cell>
          <cell r="C49" t="str">
            <v>Carbamate type biocide; Pretreatment</v>
          </cell>
        </row>
        <row r="50">
          <cell r="A50" t="str">
            <v>Aminodrill</v>
          </cell>
          <cell r="C50" t="str">
            <v>Amine based liquid shale inhibitor (winterized); Shale Control Inhibitors</v>
          </cell>
        </row>
        <row r="51">
          <cell r="A51" t="str">
            <v>Ammonium Bisulfite</v>
          </cell>
          <cell r="C51" t="str">
            <v>Oxygen scavenger; corrosion inhibitor</v>
          </cell>
        </row>
        <row r="52">
          <cell r="A52" t="str">
            <v>Ammonium Nitrate</v>
          </cell>
          <cell r="C52" t="str">
            <v>Ammonium nitrate; tracer chemical</v>
          </cell>
          <cell r="D52" t="str">
            <v>Complete salt calculation; used in advanced gel chem systems</v>
          </cell>
        </row>
        <row r="53">
          <cell r="A53" t="str">
            <v>Ammonium Sulphate</v>
          </cell>
          <cell r="C53" t="str">
            <v>Ammonium sulphate; Shale Control Inhibitors</v>
          </cell>
          <cell r="D53" t="str">
            <v>Complete salt calculation</v>
          </cell>
        </row>
        <row r="54">
          <cell r="A54" t="str">
            <v>Aphron ICS</v>
          </cell>
          <cell r="C54" t="str">
            <v>Water-base reservoir drill-in fluid; Systems</v>
          </cell>
        </row>
        <row r="55">
          <cell r="A55" t="str">
            <v>Aqua Pac LV</v>
          </cell>
          <cell r="C55" t="str">
            <v>Polyanionic cellulose; Filtrate Reducers</v>
          </cell>
        </row>
        <row r="56">
          <cell r="A56" t="str">
            <v>Aqua Pac Regular</v>
          </cell>
          <cell r="C56" t="str">
            <v>Polyanionic cellulose; Filtrate Reducers</v>
          </cell>
        </row>
        <row r="57">
          <cell r="A57" t="str">
            <v>Aqua-Col</v>
          </cell>
          <cell r="C57" t="str">
            <v>Cloud-point polyglycol; Shale Control Inhibitors</v>
          </cell>
        </row>
        <row r="58">
          <cell r="A58" t="str">
            <v>Aqua-Drill System</v>
          </cell>
          <cell r="C58" t="str">
            <v>Inhibitive glycol based drilling fluid; Systems</v>
          </cell>
        </row>
        <row r="59">
          <cell r="A59" t="str">
            <v>Aquagel</v>
          </cell>
          <cell r="C59" t="str">
            <v>Treated sodium montmorillonite; Filtrate Reducers/viscosifier</v>
          </cell>
        </row>
        <row r="60">
          <cell r="A60" t="str">
            <v>Aquagel Gold</v>
          </cell>
          <cell r="C60" t="str">
            <v>Treated sodium montmorillonite; Filtrate Reducers/viscosifier</v>
          </cell>
        </row>
        <row r="61">
          <cell r="A61" t="str">
            <v>Aqualgel Gold Seal</v>
          </cell>
          <cell r="C61" t="str">
            <v>Treated sodium montmorillonite; Viscosifiers</v>
          </cell>
        </row>
        <row r="62">
          <cell r="A62" t="str">
            <v>Aquamagic</v>
          </cell>
          <cell r="C62" t="str">
            <v>Non-toxic oil free differential sticking preventative; Lubricants</v>
          </cell>
        </row>
        <row r="63">
          <cell r="A63" t="str">
            <v>Aquapac</v>
          </cell>
          <cell r="C63" t="str">
            <v>Polyanionic cellulose; viscosifier</v>
          </cell>
        </row>
        <row r="64">
          <cell r="A64" t="str">
            <v>Aquapac LV</v>
          </cell>
          <cell r="C64" t="str">
            <v>Polyanionic cellulose; Shale Control Inhibitors</v>
          </cell>
        </row>
        <row r="65">
          <cell r="A65" t="str">
            <v>Aquapac Regular</v>
          </cell>
          <cell r="C65" t="str">
            <v>Polyanioinc cellulose; Viscosifiers</v>
          </cell>
        </row>
        <row r="66">
          <cell r="A66" t="str">
            <v>Aqua-Star D</v>
          </cell>
          <cell r="C66" t="str">
            <v>Carboxymethyl starch; Filtrate Reducers</v>
          </cell>
        </row>
        <row r="67">
          <cell r="A67" t="str">
            <v>Asphasol D</v>
          </cell>
          <cell r="C67" t="str">
            <v>Sulfonated organic blends; Shale Control Inhibitors</v>
          </cell>
        </row>
        <row r="68">
          <cell r="A68" t="str">
            <v>Asphasol Surpreme</v>
          </cell>
          <cell r="C68" t="str">
            <v>Sulfonated asphalt; Shale Control Inhibitors</v>
          </cell>
        </row>
        <row r="69">
          <cell r="A69" t="str">
            <v>Attapulgite</v>
          </cell>
          <cell r="C69" t="str">
            <v>Clay viscosifier for salt water systems; Viscosifiers</v>
          </cell>
        </row>
        <row r="70">
          <cell r="A70" t="str">
            <v>B 1007</v>
          </cell>
          <cell r="C70" t="str">
            <v>Granular Biocide; bactericides</v>
          </cell>
        </row>
        <row r="71">
          <cell r="A71" t="str">
            <v>B 1008</v>
          </cell>
          <cell r="C71" t="str">
            <v>Liquid, non-foaming biocide; bactericides</v>
          </cell>
        </row>
        <row r="72">
          <cell r="A72" t="str">
            <v>B.A.S.E. Mud</v>
          </cell>
          <cell r="C72" t="str">
            <v>Water based mud for bitumen &amp; heavy oil wells; Systems</v>
          </cell>
        </row>
        <row r="73">
          <cell r="A73" t="str">
            <v>Barablok</v>
          </cell>
          <cell r="C73" t="str">
            <v>Powdered hydrocarbon resin; Filtrate Reducers</v>
          </cell>
          <cell r="D73" t="str">
            <v>Hydrocarbons - note in Compliance Option Checklist</v>
          </cell>
        </row>
        <row r="74">
          <cell r="A74" t="str">
            <v>Barabuf</v>
          </cell>
          <cell r="C74" t="str">
            <v>Magnesium Oxide pH stabilizer; alkalinity pH control</v>
          </cell>
        </row>
        <row r="75">
          <cell r="A75" t="str">
            <v>Baracarb</v>
          </cell>
          <cell r="C75" t="str">
            <v>Sized calcium carbonate; Lost Circulation Material</v>
          </cell>
        </row>
        <row r="76">
          <cell r="A76" t="str">
            <v>Baracat</v>
          </cell>
          <cell r="C76" t="str">
            <v>High charge cationic polymer; Shale Control Inhibitors</v>
          </cell>
        </row>
        <row r="77">
          <cell r="A77" t="str">
            <v>Barachek</v>
          </cell>
          <cell r="C77" t="str">
            <v>Cellulosic Polymer; Filtrate Reducers</v>
          </cell>
        </row>
        <row r="78">
          <cell r="A78" t="str">
            <v>Baractive</v>
          </cell>
          <cell r="C78" t="str">
            <v>Polar activator for use in 100% oil systems; Surface Active Agents</v>
          </cell>
        </row>
        <row r="79">
          <cell r="A79" t="str">
            <v>Bara-Defoam HP</v>
          </cell>
          <cell r="C79" t="str">
            <v>Polypropylene glycol; defoamer</v>
          </cell>
        </row>
        <row r="80">
          <cell r="A80" t="str">
            <v>Bara-Defoam I</v>
          </cell>
          <cell r="C80" t="str">
            <v>Surface active defaomer; defoamer</v>
          </cell>
        </row>
        <row r="81">
          <cell r="A81" t="str">
            <v>Bara-Defoam W300</v>
          </cell>
          <cell r="C81" t="str">
            <v>Surface active defaomer; defoamer</v>
          </cell>
        </row>
        <row r="82">
          <cell r="A82" t="str">
            <v>Baradril-N</v>
          </cell>
          <cell r="C82" t="str">
            <v>Non damaging acid soluble clay-free system; Systems</v>
          </cell>
        </row>
        <row r="83">
          <cell r="A83" t="str">
            <v>Barafilm</v>
          </cell>
          <cell r="C83" t="str">
            <v>Filming amine; corrosion inhibitor</v>
          </cell>
        </row>
        <row r="84">
          <cell r="A84" t="str">
            <v>Barafloc</v>
          </cell>
          <cell r="C84" t="str">
            <v>Acrylamide polymeric hydrolife powder; Flocculants</v>
          </cell>
        </row>
        <row r="85">
          <cell r="A85" t="str">
            <v>Barafoam</v>
          </cell>
          <cell r="C85" t="str">
            <v>Sodium AO sulphonate; Foaming Agents</v>
          </cell>
        </row>
        <row r="86">
          <cell r="A86" t="str">
            <v>BARAFOS (SAPP)</v>
          </cell>
          <cell r="C86" t="str">
            <v>Modified sodium polyphosphate; Thinners, Dispersants</v>
          </cell>
          <cell r="D86" t="str">
            <v>Complete Salt calculation</v>
          </cell>
        </row>
        <row r="87">
          <cell r="A87" t="str">
            <v>Baragel 3000</v>
          </cell>
          <cell r="C87" t="str">
            <v>Oil mud viscosifier; Viscosifiers</v>
          </cell>
        </row>
        <row r="88">
          <cell r="A88" t="str">
            <v>Baranex</v>
          </cell>
          <cell r="C88" t="str">
            <v>Temperature stable lignite powder; Filtrate Reducers</v>
          </cell>
        </row>
        <row r="89">
          <cell r="A89" t="str">
            <v>Baraplug</v>
          </cell>
          <cell r="C89" t="str">
            <v>Sized and treated salts; Lost Circulation Material</v>
          </cell>
        </row>
        <row r="90">
          <cell r="A90" t="str">
            <v>Bararesin-Vis</v>
          </cell>
          <cell r="C90" t="str">
            <v>Organophilic viscosifier for oils; Viscosifiers</v>
          </cell>
        </row>
        <row r="91">
          <cell r="A91" t="str">
            <v>Barascav D</v>
          </cell>
          <cell r="C91" t="str">
            <v>Powdered sodium sulphite; corrosion inhibitor</v>
          </cell>
        </row>
        <row r="92">
          <cell r="A92" t="str">
            <v>Barascav L</v>
          </cell>
          <cell r="C92" t="str">
            <v>Liquid oxygen scavenger; corrosion inhibitor</v>
          </cell>
        </row>
        <row r="93">
          <cell r="A93" t="str">
            <v>Barasol</v>
          </cell>
          <cell r="C93" t="str">
            <v>Sodium ashpalt sulphonate; Shale Control Inhibitors</v>
          </cell>
        </row>
        <row r="94">
          <cell r="A94" t="str">
            <v>Baravis</v>
          </cell>
          <cell r="C94" t="str">
            <v>HEC; Viscosifiers</v>
          </cell>
        </row>
        <row r="95">
          <cell r="A95" t="str">
            <v>Baraweight</v>
          </cell>
          <cell r="C95" t="str">
            <v>Processed iron carbonate; Weighting Materials</v>
          </cell>
        </row>
        <row r="96">
          <cell r="A96" t="str">
            <v>Barazan</v>
          </cell>
          <cell r="C96" t="str">
            <v>Polysaccharide biopolymer; Viscosifiers</v>
          </cell>
        </row>
        <row r="97">
          <cell r="A97" t="str">
            <v>Barazan D</v>
          </cell>
          <cell r="C97" t="str">
            <v>Dispersion enhanced xanthan gum; Viscosifiers</v>
          </cell>
        </row>
        <row r="98">
          <cell r="A98" t="str">
            <v>Barazan D Plus</v>
          </cell>
          <cell r="C98" t="str">
            <v>Dispersant added biopolymer; Viscosifiers</v>
          </cell>
        </row>
        <row r="99">
          <cell r="A99" t="str">
            <v>Barazan L</v>
          </cell>
          <cell r="C99" t="str">
            <v>Liquid xanthan gum biopolymer; Viscosifiers</v>
          </cell>
        </row>
        <row r="100">
          <cell r="A100" t="str">
            <v>Barite</v>
          </cell>
          <cell r="C100" t="str">
            <v>Processed barites (BaSO4); Weighting Materials</v>
          </cell>
          <cell r="D100" t="str">
            <v>Complete Ba calculations; sack size 45 kg</v>
          </cell>
        </row>
        <row r="101">
          <cell r="A101" t="str">
            <v>Barium Carbonate</v>
          </cell>
          <cell r="C101" t="str">
            <v>Baium carbonate; Commercial Chemicals</v>
          </cell>
          <cell r="D101" t="str">
            <v>Complete Ba calculations</v>
          </cell>
        </row>
        <row r="102">
          <cell r="A102" t="str">
            <v>Barodense</v>
          </cell>
          <cell r="C102" t="str">
            <v>Iron oxide; Weighting Materials</v>
          </cell>
        </row>
        <row r="103">
          <cell r="A103" t="str">
            <v>Barofibre</v>
          </cell>
          <cell r="C103" t="str">
            <v>Fibrous cellulosic material; Lost Circulation Material</v>
          </cell>
        </row>
        <row r="104">
          <cell r="A104" t="str">
            <v>Baroid</v>
          </cell>
          <cell r="C104" t="str">
            <v>Barite,barium sulphate (BaSO4); Weighting Materials</v>
          </cell>
          <cell r="D104" t="str">
            <v>Complete Ba calculations</v>
          </cell>
        </row>
        <row r="105">
          <cell r="A105" t="str">
            <v>Baroid 100</v>
          </cell>
          <cell r="C105" t="str">
            <v>All oil fluid system; Systems</v>
          </cell>
        </row>
        <row r="106">
          <cell r="A106" t="str">
            <v>Barolift</v>
          </cell>
          <cell r="C106" t="str">
            <v>Specially treated monofilament fiber sweeping agent; Viscosifiers</v>
          </cell>
        </row>
        <row r="107">
          <cell r="A107" t="str">
            <v>Baro-Lube GS</v>
          </cell>
          <cell r="C107" t="str">
            <v>Surfactant/lubricant blend; Lubricants</v>
          </cell>
        </row>
        <row r="108">
          <cell r="A108" t="str">
            <v>Baroseal</v>
          </cell>
          <cell r="C108" t="str">
            <v>Combination LCM; Lost Circulation Material</v>
          </cell>
        </row>
        <row r="109">
          <cell r="A109" t="str">
            <v>Baro-Spot</v>
          </cell>
          <cell r="C109" t="str">
            <v>Blend of anionic surfactants; Lubricants</v>
          </cell>
        </row>
        <row r="110">
          <cell r="A110" t="str">
            <v>Baro-Trol Plus</v>
          </cell>
          <cell r="C110" t="str">
            <v>Blended hydrocarbon powder; Shale Control Inhibitors</v>
          </cell>
        </row>
        <row r="111">
          <cell r="A111" t="str">
            <v>Base Oil</v>
          </cell>
          <cell r="C111" t="str">
            <v>Water based mud for bitumen and heavy oil wells; system</v>
          </cell>
        </row>
        <row r="112">
          <cell r="A112" t="str">
            <v>Ben-Ex</v>
          </cell>
          <cell r="C112" t="str">
            <v>Co-polymer flocculant and clay extender; Viscosifiers</v>
          </cell>
        </row>
        <row r="113">
          <cell r="A113" t="str">
            <v>Bentone</v>
          </cell>
          <cell r="C113" t="str">
            <v>Modified organophilic clay; Viscosifiers</v>
          </cell>
        </row>
        <row r="114">
          <cell r="A114" t="str">
            <v>Bentone 38</v>
          </cell>
          <cell r="C114" t="str">
            <v>HTHP performance organoclay; Viscosifiers</v>
          </cell>
        </row>
        <row r="115">
          <cell r="A115" t="str">
            <v>Bentone 910</v>
          </cell>
          <cell r="C115" t="str">
            <v>Economical organoclay; Viscosifiers</v>
          </cell>
        </row>
        <row r="116">
          <cell r="A116" t="str">
            <v>Bentone 150</v>
          </cell>
          <cell r="C116" t="str">
            <v>Self-activating organoclay; Viscosifiers</v>
          </cell>
        </row>
        <row r="117">
          <cell r="A117" t="str">
            <v>Bentonite</v>
          </cell>
          <cell r="C117" t="str">
            <v>Clay; viscosifier; also known as Gel</v>
          </cell>
        </row>
        <row r="118">
          <cell r="A118" t="str">
            <v>Bex</v>
          </cell>
          <cell r="C118" t="str">
            <v>W/calcium carbonate stabilized HEC; Viscosifiers</v>
          </cell>
        </row>
        <row r="119">
          <cell r="A119" t="str">
            <v>Bicarb of Soda</v>
          </cell>
          <cell r="C119" t="str">
            <v>NaHCO3; alkalinity pH control/calcium removers</v>
          </cell>
          <cell r="D119" t="str">
            <v>Complete Salt calculation</v>
          </cell>
        </row>
        <row r="120">
          <cell r="A120" t="str">
            <v>Bicarbonate of Soda</v>
          </cell>
          <cell r="C120" t="str">
            <v>Alkalinity, PH control/calcium remover</v>
          </cell>
          <cell r="D120" t="str">
            <v>Complete Salt calculation</v>
          </cell>
        </row>
        <row r="121">
          <cell r="A121" t="str">
            <v>Biocide</v>
          </cell>
          <cell r="C121" t="str">
            <v>Bactericide; control bacteria</v>
          </cell>
          <cell r="D121" t="str">
            <v>Pails, not sacks for units</v>
          </cell>
        </row>
        <row r="122">
          <cell r="A122" t="str">
            <v>Bio-Spot</v>
          </cell>
          <cell r="C122" t="str">
            <v>Non-toxic oil free, water soluble spotted fluid for weighted muds; Lubricants</v>
          </cell>
        </row>
        <row r="123">
          <cell r="A123" t="str">
            <v>Bio-Drill</v>
          </cell>
          <cell r="C123" t="str">
            <v>Polyglycol ROP enhancer; Shale Control Inhibitors</v>
          </cell>
        </row>
        <row r="124">
          <cell r="A124" t="str">
            <v>Bio-Lose</v>
          </cell>
          <cell r="C124" t="str">
            <v>Non-fermenting chemically modified starch; Filtrate Reducers</v>
          </cell>
        </row>
        <row r="125">
          <cell r="A125" t="str">
            <v>Bio-Lose 90</v>
          </cell>
          <cell r="C125" t="str">
            <v>Drill in system for fractured carbonate reservoirs; Systems</v>
          </cell>
        </row>
        <row r="126">
          <cell r="A126" t="str">
            <v>Bio-Paq</v>
          </cell>
          <cell r="C126" t="str">
            <v>Organic derivate filtration control agent; Filtrate Reducers</v>
          </cell>
        </row>
        <row r="127">
          <cell r="A127" t="str">
            <v>Biovis</v>
          </cell>
          <cell r="C127" t="str">
            <v>HT biopolymer; Viscosifiers</v>
          </cell>
        </row>
        <row r="128">
          <cell r="A128" t="str">
            <v>Biozan</v>
          </cell>
          <cell r="C128" t="str">
            <v>HT biopolymer; Viscosifiers</v>
          </cell>
        </row>
        <row r="129">
          <cell r="A129" t="str">
            <v>Black-Magic</v>
          </cell>
          <cell r="C129" t="str">
            <v>Oil-base spotting fluid; Lubricants</v>
          </cell>
        </row>
        <row r="130">
          <cell r="A130" t="str">
            <v>Black-Magic LT</v>
          </cell>
          <cell r="C130" t="str">
            <v>Low toxicity spotting fluid; Lubricants</v>
          </cell>
        </row>
        <row r="131">
          <cell r="A131" t="str">
            <v>Black-Magic SFT</v>
          </cell>
          <cell r="C131" t="str">
            <v>Spotting fluid concentrate; Lubricants</v>
          </cell>
        </row>
        <row r="132">
          <cell r="A132" t="str">
            <v>Blacknite</v>
          </cell>
          <cell r="C132" t="str">
            <v>Coupled gilsonite-based dispersion; Filtrate Reducers</v>
          </cell>
        </row>
        <row r="133">
          <cell r="A133" t="str">
            <v>Blacknite K-Plus</v>
          </cell>
          <cell r="C133" t="str">
            <v>Liquid potassium based gilsonite; Shale Control Inhibitors</v>
          </cell>
        </row>
        <row r="134">
          <cell r="A134" t="str">
            <v>Bleach</v>
          </cell>
          <cell r="C134" t="str">
            <v>Sodium Hypochlorite; bactericides</v>
          </cell>
        </row>
        <row r="135">
          <cell r="A135" t="str">
            <v>Blue Streak</v>
          </cell>
          <cell r="C135" t="str">
            <v>Conditioner/encapsulator APHRON ICS; Surface Active Agents</v>
          </cell>
        </row>
        <row r="136">
          <cell r="A136" t="str">
            <v>BMI Foamtech</v>
          </cell>
          <cell r="C136" t="str">
            <v>Anionic surfactant; Foaming Agents</v>
          </cell>
        </row>
        <row r="137">
          <cell r="A137" t="str">
            <v>Bore Liner</v>
          </cell>
          <cell r="C137" t="str">
            <v>Blended hydrocarbon powder; Shale Control Inhibitors</v>
          </cell>
        </row>
        <row r="138">
          <cell r="A138" t="str">
            <v>Boremax</v>
          </cell>
          <cell r="C138" t="str">
            <v>Low colloidal high performance WBM; Systems</v>
          </cell>
        </row>
        <row r="139">
          <cell r="A139" t="str">
            <v>Bore-Plate</v>
          </cell>
          <cell r="C139" t="str">
            <v>Blend of dispersible gilsonite; Shale Control Inhibitors</v>
          </cell>
        </row>
        <row r="140">
          <cell r="A140" t="str">
            <v>Break</v>
          </cell>
          <cell r="C140" t="str">
            <v>Metallic stearate dispersed in alcohol; defoamer</v>
          </cell>
        </row>
        <row r="141">
          <cell r="A141" t="str">
            <v>Bri-Chem Coupler</v>
          </cell>
          <cell r="C141" t="str">
            <v>Non-ionic surfactant; Surface Active Agents</v>
          </cell>
        </row>
        <row r="142">
          <cell r="A142" t="str">
            <v>Bri-Chem Defoamer</v>
          </cell>
          <cell r="C142" t="str">
            <v>General purpose alcohol defoamer; defoamer</v>
          </cell>
        </row>
        <row r="143">
          <cell r="A143" t="str">
            <v>Bri-Chem MRP</v>
          </cell>
          <cell r="C143" t="str">
            <v>Concentrated anti-balling surfactant; Surface Active Agents</v>
          </cell>
        </row>
        <row r="144">
          <cell r="A144" t="str">
            <v>Bri-Chemcide</v>
          </cell>
          <cell r="C144" t="str">
            <v>Liquid Biocide; bactericides</v>
          </cell>
        </row>
        <row r="145">
          <cell r="A145" t="str">
            <v>Bridge Sal</v>
          </cell>
          <cell r="C145" t="str">
            <v>Polymers, calcium lignosulfonate, salt; Filtrate Reducers</v>
          </cell>
        </row>
        <row r="146">
          <cell r="A146" t="str">
            <v>Bridgits</v>
          </cell>
          <cell r="C146" t="str">
            <v>Sized calcium carbonate; Lost Circulation Material</v>
          </cell>
        </row>
        <row r="147">
          <cell r="A147" t="str">
            <v>Brine Guard</v>
          </cell>
          <cell r="C147" t="str">
            <v>Sulphide scavenger - zinc carbonate; corrosion inhibitor</v>
          </cell>
          <cell r="D147" t="str">
            <v>Complete Zn calculations</v>
          </cell>
        </row>
        <row r="148">
          <cell r="A148" t="str">
            <v>Brinedril-N</v>
          </cell>
          <cell r="C148" t="str">
            <v>Viscosified heavy brine system; Systems</v>
          </cell>
        </row>
        <row r="149">
          <cell r="A149" t="str">
            <v>Brine-Ox</v>
          </cell>
          <cell r="C149" t="str">
            <v>Solid catalyzed O2 scavenger; corrosion inhibitor</v>
          </cell>
        </row>
        <row r="150">
          <cell r="A150" t="str">
            <v>Brinewate</v>
          </cell>
          <cell r="C150" t="str">
            <v>Sized salt for density and fluid loss control; Weighting Materials</v>
          </cell>
        </row>
        <row r="151">
          <cell r="A151" t="str">
            <v>Bug-Killer</v>
          </cell>
          <cell r="C151" t="str">
            <v>Gluteraldehyde (50% solution); bactericides</v>
          </cell>
        </row>
        <row r="152">
          <cell r="A152" t="str">
            <v>BXR</v>
          </cell>
          <cell r="C152" t="str">
            <v>Blended asphalt and hydrocarbon resin; Shale Control Inhibitors</v>
          </cell>
        </row>
        <row r="153">
          <cell r="A153" t="str">
            <v>BXR-L</v>
          </cell>
          <cell r="C153" t="str">
            <v>Blended asphalt/ hydrocarbon resin in a glycerol/glycol base; Shale Control Inhibitors</v>
          </cell>
        </row>
        <row r="154">
          <cell r="A154" t="str">
            <v>C 107</v>
          </cell>
          <cell r="C154" t="str">
            <v>Flocculent; cationic water soluble polymer</v>
          </cell>
        </row>
        <row r="155">
          <cell r="A155" t="str">
            <v>Cage Absorbant T408</v>
          </cell>
          <cell r="C155" t="str">
            <v>Sized Zeolite; Lost Circulation Material</v>
          </cell>
        </row>
        <row r="156">
          <cell r="A156" t="str">
            <v>Calcium Carbonate</v>
          </cell>
          <cell r="C156" t="str">
            <v>Calcium Carbonate; weighting material</v>
          </cell>
        </row>
        <row r="157">
          <cell r="A157" t="str">
            <v>Calcium Carbonate Poultry Grit</v>
          </cell>
          <cell r="C157" t="str">
            <v>Calcium Carbonate; weighting material</v>
          </cell>
        </row>
        <row r="158">
          <cell r="A158" t="str">
            <v>Calcium Chloride</v>
          </cell>
          <cell r="C158" t="str">
            <v>Calcium chloride; Shale Control Inhibitors; Weighting Materials</v>
          </cell>
          <cell r="D158" t="str">
            <v>Complete Salt calculation</v>
          </cell>
        </row>
        <row r="159">
          <cell r="A159" t="str">
            <v>Calcium Hypochlorite</v>
          </cell>
          <cell r="C159" t="str">
            <v>Dewatering material; Polymor breaker for polyacrylamides</v>
          </cell>
        </row>
        <row r="160">
          <cell r="A160" t="str">
            <v>Calcium Nitrate</v>
          </cell>
          <cell r="C160" t="str">
            <v>Inorganic biodegradable flocculant (envirofloc)</v>
          </cell>
          <cell r="D160" t="str">
            <v>Complete Salt calculation</v>
          </cell>
        </row>
        <row r="161">
          <cell r="A161" t="str">
            <v>CAN EX</v>
          </cell>
          <cell r="C161" t="str">
            <v>Bentonite extender; viscosifiers</v>
          </cell>
        </row>
        <row r="162">
          <cell r="A162" t="str">
            <v>Can-Break EBS</v>
          </cell>
          <cell r="C162" t="str">
            <v>Water soluble enzyme acid blend; Polymer Breakers</v>
          </cell>
        </row>
        <row r="163">
          <cell r="A163" t="str">
            <v>Can-Break ECA</v>
          </cell>
          <cell r="C163" t="str">
            <v>cellulosic, guar and starch breaker; Polymer Breakers</v>
          </cell>
        </row>
        <row r="164">
          <cell r="A164" t="str">
            <v>Can-Break I</v>
          </cell>
          <cell r="C164" t="str">
            <v>Enzyme breaker; Polymer Breakers</v>
          </cell>
        </row>
        <row r="165">
          <cell r="A165" t="str">
            <v>Can-Ex</v>
          </cell>
          <cell r="C165" t="str">
            <v>Bentonite extender; Viscosifiers</v>
          </cell>
        </row>
        <row r="166">
          <cell r="A166" t="str">
            <v>Can-Free</v>
          </cell>
          <cell r="C166" t="str">
            <v>Surfactant for mixing with oil to free pipe; Surface Active Agents</v>
          </cell>
          <cell r="D166" t="str">
            <v>Mixture of hydrocarbons, 2-ethylexanol and alklphenol ethoxylate</v>
          </cell>
        </row>
        <row r="167">
          <cell r="A167" t="str">
            <v>Can-Oil</v>
          </cell>
          <cell r="C167" t="str">
            <v>100% oil-based drilling fluid; Systems</v>
          </cell>
        </row>
        <row r="168">
          <cell r="A168" t="str">
            <v>Can-Oil FLC</v>
          </cell>
          <cell r="C168" t="str">
            <v>Fluid loss control for all-oil system; Filtrate Reducers</v>
          </cell>
        </row>
        <row r="169">
          <cell r="A169" t="str">
            <v>CAN-THIN</v>
          </cell>
          <cell r="C169" t="str">
            <v>Iron based lignofulfonate polymer; water based deflocculant and fluid loss additive</v>
          </cell>
        </row>
        <row r="170">
          <cell r="A170" t="str">
            <v>Capryl Alcohol</v>
          </cell>
          <cell r="C170" t="str">
            <v>Vegetable based fatty alcohol, Defoamer</v>
          </cell>
          <cell r="D170" t="str">
            <v xml:space="preserve">Toxic to Rainbow trout, microtox check </v>
          </cell>
        </row>
        <row r="171">
          <cell r="A171" t="str">
            <v>Carbo-Core B</v>
          </cell>
          <cell r="C171" t="str">
            <v>Refined Oil; Drill Mud Base Fluids</v>
          </cell>
        </row>
        <row r="172">
          <cell r="A172" t="str">
            <v>Carbo-Core B Dif</v>
          </cell>
          <cell r="C172" t="str">
            <v>All-oil drilling / drill in fluid; Systems</v>
          </cell>
        </row>
        <row r="173">
          <cell r="A173" t="str">
            <v>Carbo-Core B System</v>
          </cell>
          <cell r="C173" t="str">
            <v>Refined oil invert emulsion; Systems</v>
          </cell>
          <cell r="D173" t="str">
            <v>Hydrocarbons</v>
          </cell>
        </row>
        <row r="174">
          <cell r="A174" t="str">
            <v>Carbo-Drill System</v>
          </cell>
          <cell r="C174" t="str">
            <v>Mineral oil invert emulsion; Systems</v>
          </cell>
          <cell r="D174" t="str">
            <v>Hydrocarbons</v>
          </cell>
        </row>
        <row r="175">
          <cell r="A175" t="str">
            <v>Carbo-Gel</v>
          </cell>
          <cell r="C175" t="str">
            <v>Organophilic hectoriteviscosifier for solids suspension; Viscosifiers</v>
          </cell>
        </row>
        <row r="176">
          <cell r="A176" t="str">
            <v>CARBO-MUL</v>
          </cell>
          <cell r="C176" t="str">
            <v>High temp emulisifer and wetting agent</v>
          </cell>
        </row>
        <row r="177">
          <cell r="A177" t="str">
            <v>Carbo-Mul (418)</v>
          </cell>
          <cell r="C177" t="str">
            <v>Oil mud emulsifier and wetting agent; emulsifier</v>
          </cell>
        </row>
        <row r="178">
          <cell r="A178" t="str">
            <v>Carbo-Mul HT</v>
          </cell>
          <cell r="C178" t="str">
            <v>High-temp emulsifierand wetting agent; emulsifier</v>
          </cell>
        </row>
        <row r="179">
          <cell r="A179" t="str">
            <v>Carbonox</v>
          </cell>
          <cell r="C179" t="str">
            <v>Lignitic humic acid powder; Thinners, Dispersants</v>
          </cell>
        </row>
        <row r="180">
          <cell r="A180" t="str">
            <v>Carbo-Tec</v>
          </cell>
          <cell r="C180" t="str">
            <v>Oil mud emulsifier; emulsifier</v>
          </cell>
          <cell r="D180" t="str">
            <v>Hydrocarbons</v>
          </cell>
        </row>
        <row r="181">
          <cell r="A181" t="str">
            <v>Carbo-Tec S</v>
          </cell>
          <cell r="C181" t="str">
            <v>Oil mud emulsifier</v>
          </cell>
          <cell r="D181" t="str">
            <v>Hydrocarbons</v>
          </cell>
        </row>
        <row r="182">
          <cell r="A182" t="str">
            <v>Carbo-Trol</v>
          </cell>
          <cell r="C182" t="str">
            <v>Oil mud fitration-alphallic blend; Filtrate Reducers</v>
          </cell>
          <cell r="D182" t="str">
            <v>Hydrocarbons</v>
          </cell>
        </row>
        <row r="183">
          <cell r="A183" t="str">
            <v>Carbo-Trol A-9</v>
          </cell>
          <cell r="C183" t="str">
            <v>Non-asphaltic filtration control agent for inverts; Filtrate Reducers</v>
          </cell>
        </row>
        <row r="184">
          <cell r="A184" t="str">
            <v>Carbo-Trol HT</v>
          </cell>
          <cell r="C184" t="str">
            <v>High -temp softening point gilsonite for improved filtration in inverts; Filtrate Reducers</v>
          </cell>
        </row>
        <row r="185">
          <cell r="A185" t="str">
            <v>Carbo-Vis</v>
          </cell>
          <cell r="C185" t="str">
            <v>Organo-bentonite; Viscosifiers</v>
          </cell>
        </row>
        <row r="186">
          <cell r="A186" t="str">
            <v>Carbwate</v>
          </cell>
          <cell r="C186" t="str">
            <v>Calcium carbonate; Weighting Materials</v>
          </cell>
        </row>
        <row r="187">
          <cell r="A187" t="str">
            <v>Cat-300</v>
          </cell>
          <cell r="C187" t="str">
            <v>Modified starch; Filtrate Reducers</v>
          </cell>
        </row>
        <row r="188">
          <cell r="A188" t="str">
            <v>Cat-HI</v>
          </cell>
          <cell r="C188" t="str">
            <v>Modified cellulosic polymer; Filtrate Reducers</v>
          </cell>
        </row>
        <row r="189">
          <cell r="A189" t="str">
            <v>Cat-LO</v>
          </cell>
          <cell r="C189" t="str">
            <v>Modified cellulosic polymer; Filtrate Reducers</v>
          </cell>
        </row>
        <row r="190">
          <cell r="A190" t="str">
            <v>Cat-Vis</v>
          </cell>
          <cell r="C190" t="str">
            <v>Welan gum biopolymer; Viscosifiers</v>
          </cell>
        </row>
        <row r="191">
          <cell r="A191" t="str">
            <v>Caustic</v>
          </cell>
          <cell r="C191" t="str">
            <v>Assumed to be Caustic Soda (Sodium Hydroxide); alkalinity, PH control</v>
          </cell>
          <cell r="D191" t="str">
            <v>Complete Salt calculation</v>
          </cell>
        </row>
        <row r="192">
          <cell r="A192" t="str">
            <v>Caustic Potash</v>
          </cell>
          <cell r="C192" t="str">
            <v>Potassium Hydroxide; alkalinity, PH control</v>
          </cell>
          <cell r="D192" t="str">
            <v>Complete Salt calculation</v>
          </cell>
        </row>
        <row r="193">
          <cell r="A193" t="str">
            <v>Caustic Soda</v>
          </cell>
          <cell r="C193" t="str">
            <v>Sodium Hydroxide; alkalinity, PH control</v>
          </cell>
          <cell r="D193" t="str">
            <v>Complete Salt calculation</v>
          </cell>
        </row>
        <row r="194">
          <cell r="A194" t="str">
            <v>CC 700</v>
          </cell>
          <cell r="C194" t="str">
            <v>Liquid clay control (winterized); Shale Control Inhibitors</v>
          </cell>
        </row>
        <row r="195">
          <cell r="A195" t="str">
            <v>CC-16</v>
          </cell>
          <cell r="C195" t="str">
            <v>Causticized leonardite; Filtrate Reducers</v>
          </cell>
        </row>
        <row r="196">
          <cell r="A196" t="str">
            <v>CDF-100L</v>
          </cell>
          <cell r="C196" t="str">
            <v>Anionic polyacrylamide; Shale Control Inhibitors</v>
          </cell>
        </row>
        <row r="197">
          <cell r="A197" t="str">
            <v>Cellex</v>
          </cell>
          <cell r="C197" t="str">
            <v>Sodium carboxymethyl cellulose; Filtrate Reducers</v>
          </cell>
        </row>
        <row r="198">
          <cell r="A198" t="str">
            <v>Celloflake</v>
          </cell>
          <cell r="C198" t="str">
            <v>Cellophane flake; Lost Circulation Material</v>
          </cell>
        </row>
        <row r="199">
          <cell r="A199" t="str">
            <v>Cellophane</v>
          </cell>
          <cell r="C199" t="str">
            <v>Cellophane flake; Lost Circulation Material</v>
          </cell>
        </row>
        <row r="200">
          <cell r="A200" t="str">
            <v>Cesium Formate</v>
          </cell>
          <cell r="C200" t="str">
            <v>High density brine; Weighting Materials</v>
          </cell>
          <cell r="D200" t="str">
            <v>Potential salt concern</v>
          </cell>
        </row>
        <row r="201">
          <cell r="A201" t="str">
            <v>CF Desco II</v>
          </cell>
          <cell r="C201" t="str">
            <v>Organic thinner chrome-free; Thinners, Dispersants</v>
          </cell>
          <cell r="D201" t="str">
            <v>Cr free, do not complete Cr calculation</v>
          </cell>
        </row>
        <row r="202">
          <cell r="A202" t="str">
            <v>CFL 100</v>
          </cell>
          <cell r="C202" t="str">
            <v xml:space="preserve">Chrome free lignosulfonate; </v>
          </cell>
          <cell r="D202" t="str">
            <v>Cr free, do not complete Cr calculation</v>
          </cell>
        </row>
        <row r="203">
          <cell r="A203" t="str">
            <v>Chek-Loss</v>
          </cell>
          <cell r="C203" t="str">
            <v>Ground complexed cellulose; Lost Circulation Material</v>
          </cell>
        </row>
        <row r="204">
          <cell r="A204" t="str">
            <v>Chek-Loss Coarse</v>
          </cell>
          <cell r="C204" t="str">
            <v>Ground complexed cellulose; Lost Circulation Material</v>
          </cell>
        </row>
        <row r="205">
          <cell r="A205" t="str">
            <v>Chek-Loss Plus</v>
          </cell>
          <cell r="C205" t="str">
            <v>High lignin cellulosic LCM for ES in Invert fluids; Lost Circulation Material</v>
          </cell>
        </row>
        <row r="206">
          <cell r="A206" t="str">
            <v>Chembreak EB</v>
          </cell>
          <cell r="C206" t="str">
            <v>Enzyme for breaking polymers; Polymer Breakers</v>
          </cell>
        </row>
        <row r="207">
          <cell r="A207" t="str">
            <v>Chembreak ECA</v>
          </cell>
          <cell r="C207" t="str">
            <v>Enzyme blend for polymers and starch; Polymer Breakers</v>
          </cell>
        </row>
        <row r="208">
          <cell r="A208" t="str">
            <v>Chembreak HC</v>
          </cell>
          <cell r="C208" t="str">
            <v>Calcium hypochlorite oxidizing agent; Polymer Breakers</v>
          </cell>
        </row>
        <row r="209">
          <cell r="A209" t="str">
            <v>Chemcide</v>
          </cell>
          <cell r="C209" t="str">
            <v>Liquid Biocide; bactericides</v>
          </cell>
        </row>
        <row r="210">
          <cell r="A210" t="str">
            <v>Chemclean Rig Wash</v>
          </cell>
          <cell r="C210" t="str">
            <v>Biodegradable cleaner/degreaser; Surface Active Agents</v>
          </cell>
        </row>
        <row r="211">
          <cell r="A211" t="str">
            <v>Chemfoam</v>
          </cell>
          <cell r="C211" t="str">
            <v>Foaming agent for water; Foaming Agents</v>
          </cell>
        </row>
        <row r="212">
          <cell r="A212" t="str">
            <v>Chemhib #3</v>
          </cell>
          <cell r="C212" t="str">
            <v>Corrosion Inhibitor &amp; anti-anerobic bactericide; corrosion inhibitor</v>
          </cell>
        </row>
        <row r="213">
          <cell r="A213" t="str">
            <v>Chemoil</v>
          </cell>
          <cell r="C213" t="str">
            <v>Breakable oil-based mud; Systems</v>
          </cell>
          <cell r="D213" t="str">
            <v>Hydrocarbons</v>
          </cell>
        </row>
        <row r="214">
          <cell r="A214" t="str">
            <v>Chemoil pH</v>
          </cell>
          <cell r="C214" t="str">
            <v>pH control - chemoil system; alkalinity pH control</v>
          </cell>
        </row>
        <row r="215">
          <cell r="A215" t="str">
            <v>Chemoil-Buff</v>
          </cell>
          <cell r="C215" t="str">
            <v>pH control - chemoil system; alkalinity pH control</v>
          </cell>
        </row>
        <row r="216">
          <cell r="A216" t="str">
            <v>Chemoil-DFM</v>
          </cell>
          <cell r="C216" t="str">
            <v>Defoamer for Chemoil system; defoamer</v>
          </cell>
        </row>
        <row r="217">
          <cell r="A217" t="str">
            <v>Chemoil-Gel</v>
          </cell>
          <cell r="C217" t="str">
            <v>Silica-gelant; Viscosifiers</v>
          </cell>
        </row>
        <row r="218">
          <cell r="A218" t="str">
            <v>Chemoil-Link</v>
          </cell>
          <cell r="C218" t="str">
            <v>Cross-link for chemoil gel; Viscosifiers</v>
          </cell>
        </row>
        <row r="219">
          <cell r="A219" t="str">
            <v>Chemoil-Thin</v>
          </cell>
          <cell r="C219" t="str">
            <v>Thinner for chemoil system; Thinners, Dispersants</v>
          </cell>
        </row>
        <row r="220">
          <cell r="A220" t="str">
            <v>Chemthin OM</v>
          </cell>
          <cell r="C220" t="str">
            <v>Thinner for oil-based muds; Thinners, Dispersants</v>
          </cell>
          <cell r="D220" t="str">
            <v>Hydrocarbons</v>
          </cell>
        </row>
        <row r="221">
          <cell r="A221" t="str">
            <v>Chemtrol X</v>
          </cell>
          <cell r="C221" t="str">
            <v>High-temp filtration control agent for water-base fluids; Filtrate Reducers</v>
          </cell>
        </row>
        <row r="222">
          <cell r="A222" t="str">
            <v>Chemul I</v>
          </cell>
          <cell r="C222" t="str">
            <v>Oil mud primary emulsifier; emulsifier</v>
          </cell>
          <cell r="D222" t="str">
            <v>Hydrocarbons</v>
          </cell>
        </row>
        <row r="223">
          <cell r="A223" t="str">
            <v>Chemul II</v>
          </cell>
          <cell r="C223" t="str">
            <v>Oil mud secondary emulsifier; emulsifier</v>
          </cell>
          <cell r="D223" t="str">
            <v>Hydrocarbons</v>
          </cell>
        </row>
        <row r="224">
          <cell r="A224" t="str">
            <v>Chemwet OM</v>
          </cell>
          <cell r="C224" t="str">
            <v>Oil mud wetting agent; emulsifier; Surface Active Agents</v>
          </cell>
          <cell r="D224" t="str">
            <v>Hydrocarbons</v>
          </cell>
        </row>
        <row r="225">
          <cell r="A225" t="str">
            <v>Chiron Floc</v>
          </cell>
          <cell r="C225" t="str">
            <v>PHPA; Flocculants</v>
          </cell>
        </row>
        <row r="226">
          <cell r="A226" t="str">
            <v>Chlorine</v>
          </cell>
          <cell r="C226" t="str">
            <v>Dewatering material; Polymor breaker for polyacrylamides</v>
          </cell>
        </row>
        <row r="227">
          <cell r="A227" t="str">
            <v>Chrome Alum</v>
          </cell>
          <cell r="C227" t="str">
            <v>Chromic chloride; Commercial Chemicals</v>
          </cell>
        </row>
        <row r="228">
          <cell r="A228" t="str">
            <v>CI-40</v>
          </cell>
          <cell r="C228" t="str">
            <v>Corrosion Inhibitor</v>
          </cell>
        </row>
        <row r="229">
          <cell r="A229" t="str">
            <v>Citric Acid</v>
          </cell>
          <cell r="C229" t="str">
            <v>Alkalinity control; alkalinity pH control</v>
          </cell>
        </row>
        <row r="230">
          <cell r="A230" t="str">
            <v>Clarizan</v>
          </cell>
          <cell r="C230" t="str">
            <v>Clarified xanthan gum; Viscosifiers</v>
          </cell>
        </row>
        <row r="231">
          <cell r="A231" t="str">
            <v>Clay Grabber</v>
          </cell>
          <cell r="C231" t="str">
            <v>Selective flocculant for Hydro-Guard system; Flocculants</v>
          </cell>
        </row>
        <row r="232">
          <cell r="A232" t="str">
            <v>Clay Sync</v>
          </cell>
          <cell r="C232" t="str">
            <v>Shale inhibitor for Hydro-guard system; Shale Control Inhibitors</v>
          </cell>
        </row>
        <row r="233">
          <cell r="A233" t="str">
            <v>Clay Treat</v>
          </cell>
          <cell r="C233" t="str">
            <v>Quaternary ammonium salt in aqueous solution; shale control inhibitor</v>
          </cell>
        </row>
        <row r="234">
          <cell r="A234" t="str">
            <v>Clayseal</v>
          </cell>
          <cell r="C234" t="str">
            <v>Amphoteric amine complex; Shale control inhibitor</v>
          </cell>
        </row>
        <row r="235">
          <cell r="A235" t="str">
            <v>Clayseal Plus</v>
          </cell>
          <cell r="C235" t="str">
            <v>Amphoteric material; Shale Control Inhibitors</v>
          </cell>
        </row>
        <row r="236">
          <cell r="A236" t="str">
            <v>Clay-Trol</v>
          </cell>
          <cell r="C236" t="str">
            <v>Amphoteric amine complex; Shale Control Inhibitors</v>
          </cell>
        </row>
        <row r="237">
          <cell r="A237" t="str">
            <v>Clean Up</v>
          </cell>
          <cell r="C237" t="str">
            <v>Rig Wash Cleaner; Surface Active Agents</v>
          </cell>
        </row>
        <row r="238">
          <cell r="A238" t="str">
            <v>Cleardrill</v>
          </cell>
          <cell r="C238" t="str">
            <v>Low toxicity SHC mineral oil; Drill Mud Base Fluids</v>
          </cell>
        </row>
        <row r="239">
          <cell r="A239" t="str">
            <v>Clearex</v>
          </cell>
          <cell r="C239" t="str">
            <v>Blended polymers with carbonates; Lost Circulation Material</v>
          </cell>
        </row>
        <row r="240">
          <cell r="A240" t="str">
            <v>Clearfoam K</v>
          </cell>
          <cell r="C240" t="str">
            <v>Potassium formate; Shale Control Inhibitors</v>
          </cell>
          <cell r="D240" t="str">
            <v>Complete Salt calculation; Advanced Gel Chem</v>
          </cell>
        </row>
        <row r="241">
          <cell r="A241" t="str">
            <v>CMC</v>
          </cell>
          <cell r="C241" t="str">
            <v>Carboxymethyl cellulose; Filtrate Reducers; polymer</v>
          </cell>
        </row>
        <row r="242">
          <cell r="A242" t="str">
            <v>C-Mul</v>
          </cell>
          <cell r="C242" t="str">
            <v>PAO lubricant; Lubricants</v>
          </cell>
        </row>
        <row r="243">
          <cell r="A243" t="str">
            <v>CoastaLube</v>
          </cell>
          <cell r="C243" t="str">
            <v>PAO lubricant; Lubricants</v>
          </cell>
        </row>
        <row r="244">
          <cell r="A244" t="str">
            <v>Comcorba</v>
          </cell>
          <cell r="C244" t="str">
            <v xml:space="preserve">Starch system (1957); </v>
          </cell>
        </row>
        <row r="245">
          <cell r="A245" t="str">
            <v>Con Det</v>
          </cell>
          <cell r="C245" t="str">
            <v>Mud Detergent; Surface Active Agents</v>
          </cell>
        </row>
        <row r="246">
          <cell r="A246" t="str">
            <v>Conqor 404</v>
          </cell>
          <cell r="C246" t="str">
            <v>Phosphorus-based corrosion inhibitor; corrosion inhibitor</v>
          </cell>
        </row>
        <row r="247">
          <cell r="A247" t="str">
            <v>Core-dril</v>
          </cell>
          <cell r="C247" t="str">
            <v>All oil fluid system; Systems</v>
          </cell>
          <cell r="D247" t="str">
            <v>Hydrocarbons</v>
          </cell>
        </row>
        <row r="248">
          <cell r="A248" t="str">
            <v>Corinox</v>
          </cell>
          <cell r="C248" t="str">
            <v>Corrosion inhibitor/oxygen scavenger; corrosion inhibitor</v>
          </cell>
        </row>
        <row r="249">
          <cell r="A249" t="str">
            <v>Cottonseed Hulls</v>
          </cell>
          <cell r="C249" t="str">
            <v>Fibrous biodegradeable hull material; Lost Circulation Material</v>
          </cell>
        </row>
        <row r="250">
          <cell r="A250" t="str">
            <v>Cronox MEP 426</v>
          </cell>
          <cell r="C250" t="str">
            <v>3 way packer fluid inhibitor; corrosion inhibitor</v>
          </cell>
        </row>
        <row r="251">
          <cell r="A251" t="str">
            <v>CROSFLOC</v>
          </cell>
          <cell r="C251" t="str">
            <v>Polyacrylamide Polymers; flocculent</v>
          </cell>
        </row>
        <row r="252">
          <cell r="A252" t="str">
            <v>CRW 132</v>
          </cell>
          <cell r="C252" t="str">
            <v>3 way packer fluid inhibitor; corrosion inhibitor</v>
          </cell>
        </row>
        <row r="253">
          <cell r="A253" t="str">
            <v>Crystal-drill</v>
          </cell>
          <cell r="C253" t="str">
            <v>Polymeric shale inhibitor; Shale Control Inhibitors</v>
          </cell>
        </row>
        <row r="254">
          <cell r="A254" t="str">
            <v>C-squeeze</v>
          </cell>
          <cell r="C254" t="str">
            <v>Filtrate reducer additive; Filtrate Reducers</v>
          </cell>
        </row>
        <row r="255">
          <cell r="A255" t="str">
            <v>Cutter D</v>
          </cell>
          <cell r="C255" t="str">
            <v>Invert base fluid</v>
          </cell>
        </row>
        <row r="256">
          <cell r="A256" t="str">
            <v>CW8367</v>
          </cell>
          <cell r="C256" t="str">
            <v>Water-soluble corrosion (anodic type) inhibitor; also biodegradable</v>
          </cell>
        </row>
        <row r="257">
          <cell r="A257" t="str">
            <v>CW8551-3</v>
          </cell>
          <cell r="C257" t="str">
            <v>Water-soluble corrosion (anodic type) inhibitor; also biodegradable</v>
          </cell>
        </row>
        <row r="258">
          <cell r="A258" t="str">
            <v>CW8659-3</v>
          </cell>
          <cell r="C258" t="str">
            <v>Water-soluble corrosion (anodic type) inhibitor; also biodegradable</v>
          </cell>
        </row>
        <row r="259">
          <cell r="A259" t="str">
            <v>CW8919</v>
          </cell>
          <cell r="C259" t="str">
            <v>Water-soluble corrosion (anodic type) inhibitor; also biodegradable</v>
          </cell>
        </row>
        <row r="260">
          <cell r="A260" t="str">
            <v>Cypan</v>
          </cell>
          <cell r="C260" t="str">
            <v>Sodium Polyacrylate; Filtrate Reducers</v>
          </cell>
        </row>
        <row r="261">
          <cell r="A261" t="str">
            <v>D178 Plus</v>
          </cell>
          <cell r="C261" t="str">
            <v>High-temp polymer filtrate control for high salinity environments; Filtrate Reducers</v>
          </cell>
        </row>
        <row r="262">
          <cell r="A262" t="str">
            <v>Dakolite</v>
          </cell>
          <cell r="C262" t="str">
            <v>Lignite; emulsifier</v>
          </cell>
        </row>
        <row r="263">
          <cell r="A263" t="str">
            <v>Dakolite (lignite)</v>
          </cell>
          <cell r="C263" t="str">
            <v>Lignite; emulsifier; diammonium Phosphate</v>
          </cell>
          <cell r="D263" t="str">
            <v>Complete Salt calculation</v>
          </cell>
        </row>
        <row r="264">
          <cell r="A264" t="str">
            <v>Dap</v>
          </cell>
          <cell r="C264" t="str">
            <v>Diamonium phosphate; Shale Control Inhibitors</v>
          </cell>
          <cell r="D264" t="str">
            <v>Complete Salt calculation</v>
          </cell>
        </row>
        <row r="265">
          <cell r="A265" t="str">
            <v>D-Break</v>
          </cell>
          <cell r="C265" t="str">
            <v>Viscosity breaker for pure oil systems; Thinners, Dispersants</v>
          </cell>
        </row>
        <row r="266">
          <cell r="A266" t="str">
            <v>D-Buff</v>
          </cell>
          <cell r="C266" t="str">
            <v>pH control - pure oil systems; alkalinity pH control</v>
          </cell>
        </row>
        <row r="267">
          <cell r="A267" t="str">
            <v>D-Control</v>
          </cell>
          <cell r="C267" t="str">
            <v>pH control - pure oil systems; alkalinity pH control</v>
          </cell>
        </row>
        <row r="268">
          <cell r="A268" t="str">
            <v>DD</v>
          </cell>
          <cell r="C268" t="str">
            <v>Drilling Detergent; Surface Active Agents</v>
          </cell>
          <cell r="D268" t="str">
            <v>Pails not sacks - double check</v>
          </cell>
        </row>
        <row r="269">
          <cell r="A269" t="str">
            <v>Deepdrill Inhibitor</v>
          </cell>
          <cell r="C269" t="str">
            <v>Blend of polyglycerine and methyl glucoside; Shale Control Inhibitors</v>
          </cell>
        </row>
        <row r="270">
          <cell r="A270" t="str">
            <v>Defoam 2000</v>
          </cell>
          <cell r="C270" t="str">
            <v>Silicone based defoamer; defoamer</v>
          </cell>
        </row>
        <row r="271">
          <cell r="A271" t="str">
            <v>Defoam-2</v>
          </cell>
          <cell r="C271" t="str">
            <v>Water miscible for polymer systems; defoamer</v>
          </cell>
        </row>
        <row r="272">
          <cell r="A272" t="str">
            <v>Defoam-A</v>
          </cell>
          <cell r="C272" t="str">
            <v>Alcohol based defoamer; defoamer</v>
          </cell>
        </row>
        <row r="273">
          <cell r="A273" t="str">
            <v>Defoamer</v>
          </cell>
          <cell r="C273" t="str">
            <v>Silicone based defoamer; defoamer</v>
          </cell>
        </row>
        <row r="274">
          <cell r="A274" t="str">
            <v>Defoamer Silicone</v>
          </cell>
          <cell r="C274" t="str">
            <v>Silicone based defoamer; defoamer</v>
          </cell>
        </row>
        <row r="275">
          <cell r="A275" t="str">
            <v>Defoam-X</v>
          </cell>
          <cell r="C275" t="str">
            <v>Low toxicity defoamer; defoamer</v>
          </cell>
        </row>
        <row r="276">
          <cell r="A276" t="str">
            <v>Densimix</v>
          </cell>
          <cell r="C276" t="str">
            <v>Hematite; Weighting Materials</v>
          </cell>
        </row>
        <row r="277">
          <cell r="A277" t="str">
            <v>Desco</v>
          </cell>
          <cell r="C277" t="str">
            <v>Organic thinner; Thinners, Dispersants</v>
          </cell>
          <cell r="D277" t="str">
            <v>Complete Cr calculations</v>
          </cell>
        </row>
        <row r="278">
          <cell r="A278" t="str">
            <v>Desco CF</v>
          </cell>
          <cell r="C278" t="str">
            <v>Organic thinner; thinner dispersant</v>
          </cell>
          <cell r="D278" t="str">
            <v>Cr free, do not complete Cr calculation</v>
          </cell>
        </row>
        <row r="279">
          <cell r="A279" t="str">
            <v>Detergent L</v>
          </cell>
          <cell r="C279" t="str">
            <v>Drilling Mud Detergent; Surface Active Agents</v>
          </cell>
          <cell r="D279" t="str">
            <v>Pails not sacks - double check;mictotox check</v>
          </cell>
        </row>
        <row r="280">
          <cell r="A280" t="str">
            <v>Dextrid</v>
          </cell>
          <cell r="C280" t="str">
            <v>Partially dextrinized polysaccharide; Filtrate reducer</v>
          </cell>
        </row>
        <row r="281">
          <cell r="A281" t="str">
            <v>Dextrid LT</v>
          </cell>
          <cell r="C281" t="str">
            <v>Partially dextrinized polysaccharide; Filtrate Reducers</v>
          </cell>
        </row>
        <row r="282">
          <cell r="A282" t="str">
            <v>DF-19</v>
          </cell>
          <cell r="C282" t="str">
            <v>dry PHPA; Flocculants</v>
          </cell>
        </row>
        <row r="283">
          <cell r="A283" t="str">
            <v>Diamond Seal</v>
          </cell>
          <cell r="C283" t="str">
            <v>Absorbent synthetic polymer; Lost Circulation Material</v>
          </cell>
        </row>
        <row r="284">
          <cell r="A284" t="str">
            <v>Diaseal M</v>
          </cell>
          <cell r="C284" t="str">
            <v>Blended LC material; Lost Circulation Material</v>
          </cell>
        </row>
        <row r="285">
          <cell r="A285" t="str">
            <v>Diesel</v>
          </cell>
          <cell r="C285" t="str">
            <v>Drill mud base fluid; hydrocarbon</v>
          </cell>
          <cell r="D285" t="str">
            <v>Hydrocarbons - note in Compliance Option Checklist</v>
          </cell>
        </row>
        <row r="286">
          <cell r="A286" t="str">
            <v>Dipro</v>
          </cell>
          <cell r="C286" t="str">
            <v>High density low solids RDF; Systems</v>
          </cell>
        </row>
        <row r="287">
          <cell r="A287" t="str">
            <v>Disperse</v>
          </cell>
          <cell r="C287" t="str">
            <v>Wetting agent, rheology modifier; emulsifier</v>
          </cell>
        </row>
        <row r="288">
          <cell r="A288" t="str">
            <v>D-Link</v>
          </cell>
          <cell r="C288" t="str">
            <v>Viscosity activator-pure oil systems; Viscosifiers</v>
          </cell>
        </row>
        <row r="289">
          <cell r="A289" t="str">
            <v>DME</v>
          </cell>
          <cell r="C289" t="str">
            <v>Non-ionic emulsifier; emulsifier</v>
          </cell>
        </row>
        <row r="290">
          <cell r="A290" t="str">
            <v>DMS</v>
          </cell>
          <cell r="C290" t="str">
            <v>Non-ionic surfactant; Surface Active Agents</v>
          </cell>
        </row>
        <row r="291">
          <cell r="A291" t="str">
            <v>Dowcide G</v>
          </cell>
          <cell r="C291" t="str">
            <v>Sodium Pentachlorophenate; bactericides</v>
          </cell>
        </row>
        <row r="292">
          <cell r="A292" t="str">
            <v>Dril Beads</v>
          </cell>
          <cell r="C292" t="str">
            <v>Polymer beads; Lubricants</v>
          </cell>
        </row>
        <row r="293">
          <cell r="A293" t="str">
            <v>Dril Treat</v>
          </cell>
          <cell r="C293" t="str">
            <v>Lecithin liquid; Surface Active Agents</v>
          </cell>
        </row>
        <row r="294">
          <cell r="A294" t="str">
            <v>Drilcom</v>
          </cell>
          <cell r="C294" t="str">
            <v>Polymer and sized carbonate blend; Viscosifiers</v>
          </cell>
        </row>
        <row r="295">
          <cell r="A295" t="str">
            <v>Dril-con D</v>
          </cell>
          <cell r="C295" t="str">
            <v>Blend non-ionic/anionic surface agents; Surface Active Agents</v>
          </cell>
        </row>
        <row r="296">
          <cell r="A296" t="str">
            <v>Drilcon DS</v>
          </cell>
          <cell r="C296" t="str">
            <v>Liquid shale inhibitor; Shale Control Inhibitors</v>
          </cell>
        </row>
        <row r="297">
          <cell r="A297" t="str">
            <v>Dril-Doktor</v>
          </cell>
          <cell r="C297" t="str">
            <v>Microground cellulose; Lost Circulation Material</v>
          </cell>
        </row>
        <row r="298">
          <cell r="A298" t="str">
            <v>Drilfoam</v>
          </cell>
          <cell r="C298" t="str">
            <v>Foaming agent for water; Foaming Agents</v>
          </cell>
        </row>
        <row r="299">
          <cell r="A299" t="str">
            <v>Drill Kan MRP</v>
          </cell>
          <cell r="C299" t="str">
            <v>Surface Active Agents</v>
          </cell>
        </row>
        <row r="300">
          <cell r="A300" t="str">
            <v>Drill Plug C/M</v>
          </cell>
          <cell r="C300" t="str">
            <v>Blended sized cellulose fiber; Lost Circulation Material</v>
          </cell>
        </row>
        <row r="301">
          <cell r="A301" t="str">
            <v>Drilling Detergent</v>
          </cell>
          <cell r="C301" t="str">
            <v>Drilling detergent liquid/powder; Surface Active Agents</v>
          </cell>
          <cell r="D301" t="str">
            <v>Pails not sacks - double check</v>
          </cell>
        </row>
        <row r="302">
          <cell r="A302" t="str">
            <v>Drillout Plus</v>
          </cell>
          <cell r="C302" t="str">
            <v>Amphoteric cellulose ether; Filtrate Reducers</v>
          </cell>
        </row>
        <row r="303">
          <cell r="A303" t="str">
            <v>DRILLPAC</v>
          </cell>
          <cell r="C303" t="str">
            <v>Viscosifier, polyanionic cellulose</v>
          </cell>
        </row>
        <row r="304">
          <cell r="A304" t="str">
            <v>Drillpac HV</v>
          </cell>
          <cell r="C304" t="str">
            <v>Polyanionic cellulose; Viscosifiers</v>
          </cell>
        </row>
        <row r="305">
          <cell r="A305" t="str">
            <v>Drillpac LV</v>
          </cell>
          <cell r="C305" t="str">
            <v>Polyanionic cellulose; Filtrate Reducers</v>
          </cell>
        </row>
        <row r="306">
          <cell r="A306" t="str">
            <v>Drill-Thin</v>
          </cell>
          <cell r="C306" t="str">
            <v>Chrome-free organic thinner; Thinners, Dispersants</v>
          </cell>
          <cell r="D306" t="str">
            <v>Cr free, do not complete Cr calculation</v>
          </cell>
        </row>
        <row r="307">
          <cell r="A307" t="str">
            <v>Dril-N</v>
          </cell>
          <cell r="C307" t="str">
            <v>Non-damaging clay-free polymer based system; Systems</v>
          </cell>
        </row>
        <row r="308">
          <cell r="A308" t="str">
            <v>Dril-N-Slide</v>
          </cell>
          <cell r="C308" t="str">
            <v>Blend of organics; Lubricants</v>
          </cell>
        </row>
        <row r="309">
          <cell r="A309" t="str">
            <v>Drilplex</v>
          </cell>
          <cell r="C309" t="str">
            <v>MMO viscosifier; Viscosifiers</v>
          </cell>
        </row>
        <row r="310">
          <cell r="A310" t="str">
            <v>Drilstar HT</v>
          </cell>
          <cell r="C310" t="str">
            <v>High temperature starch; Filtrate Reducers</v>
          </cell>
        </row>
        <row r="311">
          <cell r="A311" t="str">
            <v>Drilsurf</v>
          </cell>
          <cell r="C311" t="str">
            <v>Biodegradable demulsifier; Surface Active Agents</v>
          </cell>
        </row>
        <row r="312">
          <cell r="A312" t="str">
            <v>Driltreat</v>
          </cell>
          <cell r="C312" t="str">
            <v>Oil wetting agent used to improve flow properties and emulsion stability</v>
          </cell>
          <cell r="D312" t="str">
            <v>Hydrocarbons</v>
          </cell>
        </row>
        <row r="313">
          <cell r="A313" t="str">
            <v>Driscal D</v>
          </cell>
          <cell r="C313" t="str">
            <v>Synthetic HTHP polymer; Filtrate Reducers</v>
          </cell>
        </row>
        <row r="314">
          <cell r="A314" t="str">
            <v>Drispac</v>
          </cell>
          <cell r="C314" t="str">
            <v>Polyanionic cellulose; Viscosifiers</v>
          </cell>
        </row>
        <row r="315">
          <cell r="A315" t="str">
            <v>Drispac Plus</v>
          </cell>
          <cell r="C315" t="str">
            <v>Polyanionic cellulose; Viscosifiers</v>
          </cell>
        </row>
        <row r="316">
          <cell r="A316" t="str">
            <v>Drispac Plus Superlo</v>
          </cell>
          <cell r="C316" t="str">
            <v>Polyanionic cellulose; Filtrate Reducers</v>
          </cell>
        </row>
        <row r="317">
          <cell r="A317" t="str">
            <v>Drispac Superlo</v>
          </cell>
          <cell r="C317" t="str">
            <v>Polyanionic cellulose; Shale Control Inhibitors</v>
          </cell>
        </row>
        <row r="318">
          <cell r="A318" t="str">
            <v>DSCO Beads</v>
          </cell>
          <cell r="C318" t="str">
            <v>Polymer beads; Lubricants</v>
          </cell>
        </row>
        <row r="319">
          <cell r="A319" t="str">
            <v>DSCO Defoam</v>
          </cell>
          <cell r="C319" t="str">
            <v>Propietary defoamer; defoamer</v>
          </cell>
        </row>
        <row r="320">
          <cell r="A320" t="str">
            <v>D-Thins</v>
          </cell>
          <cell r="C320" t="str">
            <v>Thinner for pure oil systems; Thinners, Dispersants</v>
          </cell>
          <cell r="D320" t="str">
            <v>Hydrocarbons</v>
          </cell>
        </row>
        <row r="321">
          <cell r="A321" t="str">
            <v>Dual-Flo</v>
          </cell>
          <cell r="C321" t="str">
            <v>Filtrate Reducer; Filtrate Reducers</v>
          </cell>
        </row>
        <row r="322">
          <cell r="A322" t="str">
            <v>Duo-Vis</v>
          </cell>
          <cell r="C322" t="str">
            <v>Xanthan gum, dispersible, non-clarified; Viscosifiers</v>
          </cell>
        </row>
        <row r="323">
          <cell r="A323" t="str">
            <v>Duratone Ht</v>
          </cell>
          <cell r="C323" t="str">
            <v>Organophilic colloid powder; Filtrate Reducers</v>
          </cell>
        </row>
        <row r="324">
          <cell r="A324" t="str">
            <v>Durenex Plus</v>
          </cell>
          <cell r="C324" t="str">
            <v>High-temp sulfonated co-polymer; Filtrate Reducers</v>
          </cell>
        </row>
        <row r="325">
          <cell r="A325" t="str">
            <v>D-Vis</v>
          </cell>
          <cell r="C325" t="str">
            <v>Viscosifier - pure oil systems; Viscosifiers</v>
          </cell>
        </row>
        <row r="326">
          <cell r="A326" t="str">
            <v>Dynadet</v>
          </cell>
          <cell r="C326" t="str">
            <v>Drilling fluid detergent; Surface Active Agents</v>
          </cell>
        </row>
        <row r="327">
          <cell r="A327" t="str">
            <v>Dynafiber</v>
          </cell>
          <cell r="C327" t="str">
            <v>Cellulose fiber; Lost Circulation Material</v>
          </cell>
        </row>
        <row r="328">
          <cell r="A328" t="str">
            <v>Dynared</v>
          </cell>
          <cell r="C328" t="str">
            <v>Ground natural fiber; Lost Circulation Material</v>
          </cell>
        </row>
        <row r="329">
          <cell r="A329" t="str">
            <v>Ecodrill 317</v>
          </cell>
          <cell r="C329" t="str">
            <v>Potassium silicate; Shale Control Inhibitors</v>
          </cell>
          <cell r="D329" t="str">
            <v>Complete Salt calculation; Advanced Gel Chem</v>
          </cell>
        </row>
        <row r="330">
          <cell r="A330" t="str">
            <v>Ecogreen B</v>
          </cell>
          <cell r="C330" t="str">
            <v>Ester base fluid; Drill Mud Base Fluids</v>
          </cell>
        </row>
        <row r="331">
          <cell r="A331" t="str">
            <v>Ecogreen P</v>
          </cell>
          <cell r="C331" t="str">
            <v>Primary emulsifier for Ecogreen system; emulsifier</v>
          </cell>
        </row>
        <row r="332">
          <cell r="A332" t="str">
            <v>Ecogreen S</v>
          </cell>
          <cell r="C332" t="str">
            <v>Secondary emulsifier for Ecogreen system; emulsifier</v>
          </cell>
        </row>
        <row r="333">
          <cell r="A333" t="str">
            <v>Ecotrol</v>
          </cell>
          <cell r="C333" t="str">
            <v>Polymeric filtrate reducer; Filtrate Reducers</v>
          </cell>
        </row>
        <row r="334">
          <cell r="A334" t="str">
            <v>EK 2000 Degreaser</v>
          </cell>
          <cell r="C334" t="str">
            <v>Detergent/cleaner; Surface Active Agents</v>
          </cell>
        </row>
        <row r="335">
          <cell r="A335" t="str">
            <v>Emul-Break</v>
          </cell>
          <cell r="C335" t="str">
            <v>Emulsion breaker; Surface Active Agents</v>
          </cell>
        </row>
        <row r="336">
          <cell r="A336" t="str">
            <v>Emulgo</v>
          </cell>
          <cell r="C336" t="str">
            <v>Chalk base emulsion; emulsifier</v>
          </cell>
        </row>
        <row r="337">
          <cell r="A337" t="str">
            <v>Encapsorfloc</v>
          </cell>
          <cell r="C337" t="str">
            <v>Liquid polyacrylamide; Flocculants</v>
          </cell>
        </row>
        <row r="338">
          <cell r="A338" t="str">
            <v>Encapsulator</v>
          </cell>
          <cell r="C338" t="str">
            <v>Liquid polyacrylamide; Flocculants</v>
          </cell>
        </row>
        <row r="339">
          <cell r="A339" t="str">
            <v>Enkapsafloc</v>
          </cell>
          <cell r="C339" t="str">
            <v>Liquid polyacrylamide; Flocculants</v>
          </cell>
        </row>
        <row r="340">
          <cell r="A340" t="str">
            <v>Enviro KII</v>
          </cell>
          <cell r="C340" t="str">
            <v>Amine Salt; Shale Stabilizer</v>
          </cell>
        </row>
        <row r="341">
          <cell r="A341" t="str">
            <v>Envirodrill</v>
          </cell>
          <cell r="C341" t="str">
            <v>Low toxicity SHC mineral oil; Drill Mud Base Fluids</v>
          </cell>
        </row>
        <row r="342">
          <cell r="A342" t="str">
            <v>Envirofloc</v>
          </cell>
          <cell r="C342" t="str">
            <v>Inorganic biodegradable flocculant (calcium nitrate); Flocculants</v>
          </cell>
          <cell r="D342" t="str">
            <v>Complete Salt calculation</v>
          </cell>
        </row>
        <row r="343">
          <cell r="A343" t="str">
            <v>Envirolube</v>
          </cell>
          <cell r="C343" t="str">
            <v>Non-oil based drilling lubricant</v>
          </cell>
        </row>
        <row r="344">
          <cell r="A344" t="str">
            <v>Enviroplug</v>
          </cell>
          <cell r="C344" t="str">
            <v>Sized bentonite; Lost Circulation Material</v>
          </cell>
        </row>
        <row r="345">
          <cell r="A345" t="str">
            <v>Enviro-Spot</v>
          </cell>
          <cell r="C345" t="str">
            <v>Oil mud concentrate; Lubricants</v>
          </cell>
          <cell r="D345" t="str">
            <v>Hydrocarbons</v>
          </cell>
        </row>
        <row r="346">
          <cell r="A346" t="str">
            <v>Enviro-Thin</v>
          </cell>
          <cell r="C346" t="str">
            <v>Chrome-free iron lignosulphonate; Thinners, Dispersants</v>
          </cell>
          <cell r="D346" t="str">
            <v>Cr free, do not complete Cr calculation</v>
          </cell>
        </row>
        <row r="347">
          <cell r="A347" t="str">
            <v>Enviro-Torq</v>
          </cell>
          <cell r="C347" t="str">
            <v>Non-toxic lubricant; Lubricants</v>
          </cell>
        </row>
        <row r="348">
          <cell r="A348" t="str">
            <v>Envirovert</v>
          </cell>
          <cell r="C348" t="str">
            <v>Chloride free OBM; Systems</v>
          </cell>
        </row>
        <row r="349">
          <cell r="A349" t="str">
            <v>Extra High Yeild Bentonite</v>
          </cell>
          <cell r="C349" t="str">
            <v>Peptized wyoming bentonite; Viscosifiers</v>
          </cell>
        </row>
        <row r="350">
          <cell r="A350" t="str">
            <v>EZ Drill</v>
          </cell>
          <cell r="C350" t="str">
            <v>Non-foaming vegetable oil blend; Lubricants</v>
          </cell>
        </row>
        <row r="351">
          <cell r="A351" t="str">
            <v>EZ MUL</v>
          </cell>
          <cell r="C351" t="str">
            <v>Oil-soluble surfactant liquid non-toxic; emulsifier</v>
          </cell>
        </row>
        <row r="352">
          <cell r="A352" t="str">
            <v>Ez Mul NT</v>
          </cell>
          <cell r="C352" t="str">
            <v>Oil-soluble surfactant liquid non-toxic; emulsifier</v>
          </cell>
        </row>
        <row r="353">
          <cell r="A353" t="str">
            <v>Ezcore</v>
          </cell>
          <cell r="C353" t="str">
            <v>In situ invert emulsifier; emulsifier</v>
          </cell>
        </row>
        <row r="354">
          <cell r="A354" t="str">
            <v>EZE-Slide</v>
          </cell>
          <cell r="C354" t="str">
            <v>Liquid lubricant; Lubricants</v>
          </cell>
        </row>
        <row r="355">
          <cell r="A355" t="str">
            <v>EZE-Slide D</v>
          </cell>
          <cell r="C355" t="str">
            <v>Liquid lubricant; Lubricants</v>
          </cell>
        </row>
        <row r="356">
          <cell r="A356" t="str">
            <v>Ezeslide OS</v>
          </cell>
          <cell r="C356" t="str">
            <v>Liquid lubricant; Lubricants</v>
          </cell>
        </row>
        <row r="357">
          <cell r="A357" t="str">
            <v>Ezeslide XLT</v>
          </cell>
          <cell r="C357" t="str">
            <v>Liquid lubricant; Lubricants</v>
          </cell>
        </row>
        <row r="358">
          <cell r="A358" t="str">
            <v>Ez-Glide</v>
          </cell>
          <cell r="C358" t="str">
            <v>Blend of surfactants; Lubricants</v>
          </cell>
        </row>
        <row r="359">
          <cell r="A359" t="str">
            <v>EZ-Mud</v>
          </cell>
          <cell r="C359" t="str">
            <v>Polyacrylamide polyacrylate; Shale Control Inhibitors</v>
          </cell>
          <cell r="D359" t="str">
            <v xml:space="preserve">Petroleum Distillate; PHC calculations using DST calculations; enter volume of EZ mud into volume of additive in place of "volume of returns" and additive's oil content in the "oil content" (from the SDS, we will use the high end (30%) column. If there were 7 pails added, if we assume 5 gal (19L) pails= 133L = 0.133 m3 for volume of returns. If we don’t know the ID,  use the default of 97.2mm. You will need to explain what you have done in the comments section of the checklist so that it is clear to the reviewer how the hydrocarbon additives were addressed and what assumptions we made. </v>
          </cell>
        </row>
        <row r="360">
          <cell r="A360" t="str">
            <v>EZ-Mud DP</v>
          </cell>
          <cell r="C360" t="str">
            <v>Shale stabilizing polyacrylamide; Shale Control Inhibitors</v>
          </cell>
          <cell r="D360" t="str">
            <v>Petroleum Distillate free</v>
          </cell>
        </row>
        <row r="361">
          <cell r="A361" t="str">
            <v>EZ-Plug</v>
          </cell>
          <cell r="C361" t="str">
            <v>Acid soluble blend of LCM; Lost Circulation Material</v>
          </cell>
        </row>
        <row r="362">
          <cell r="A362" t="str">
            <v>EZ-Spot</v>
          </cell>
          <cell r="C362" t="str">
            <v>Blend of emulsifiers, lubricants and viscosifiers; Lubricants</v>
          </cell>
        </row>
        <row r="363">
          <cell r="A363" t="str">
            <v>FA liquid phpa</v>
          </cell>
          <cell r="C363" t="str">
            <v>Liquid polyacrylamide; Shale Control Inhibitors</v>
          </cell>
        </row>
        <row r="364">
          <cell r="A364" t="str">
            <v>Faze-Mul</v>
          </cell>
          <cell r="C364" t="str">
            <v>Emulsifier for Fazepro system; emulsifier</v>
          </cell>
        </row>
        <row r="365">
          <cell r="A365" t="str">
            <v>Fazepro</v>
          </cell>
          <cell r="C365" t="str">
            <v>Reversible-wetting invert emulsion mud; Systems</v>
          </cell>
        </row>
        <row r="366">
          <cell r="A366" t="str">
            <v>Fed Pac R</v>
          </cell>
          <cell r="C366" t="str">
            <v>Polyanionic cellulose; Viscosifiers</v>
          </cell>
        </row>
        <row r="367">
          <cell r="A367" t="str">
            <v>Fed Pac R/UL</v>
          </cell>
          <cell r="C367" t="str">
            <v>Polyanionic cellulose; viscosifier</v>
          </cell>
        </row>
        <row r="368">
          <cell r="A368" t="str">
            <v>Fed Pac UL</v>
          </cell>
          <cell r="C368" t="str">
            <v>Polyanionic cellulose; Viscosifiers</v>
          </cell>
        </row>
        <row r="369">
          <cell r="A369" t="str">
            <v>Fed Seal</v>
          </cell>
          <cell r="C369" t="str">
            <v>Blended lost circulation material</v>
          </cell>
        </row>
        <row r="370">
          <cell r="A370" t="str">
            <v>Fed Zan D</v>
          </cell>
          <cell r="C370" t="str">
            <v>Xanthan gum viscosifier</v>
          </cell>
        </row>
        <row r="371">
          <cell r="A371" t="str">
            <v>Federal Barite</v>
          </cell>
          <cell r="C371" t="str">
            <v>API spec barite; Weighting Materials</v>
          </cell>
          <cell r="D371" t="str">
            <v>Complete Ba calculations</v>
          </cell>
        </row>
        <row r="372">
          <cell r="A372" t="str">
            <v>Federal Bentonite</v>
          </cell>
          <cell r="C372" t="str">
            <v>Sodium montmorillonite untreated; viscosifier</v>
          </cell>
        </row>
        <row r="373">
          <cell r="A373" t="str">
            <v>Federal Supreme</v>
          </cell>
          <cell r="C373" t="str">
            <v>Sodium montmorillonite; Viscosifiers</v>
          </cell>
        </row>
        <row r="374">
          <cell r="A374" t="str">
            <v>Federal Untreated</v>
          </cell>
          <cell r="C374" t="str">
            <v>Sodium montmorillonite untreated; viscosifier</v>
          </cell>
        </row>
        <row r="375">
          <cell r="A375" t="str">
            <v>Fed-Mix II</v>
          </cell>
          <cell r="C375" t="str">
            <v>Blended LCM; Lost Circulation Material</v>
          </cell>
        </row>
        <row r="376">
          <cell r="A376" t="str">
            <v>Fed-Rheosmaty</v>
          </cell>
          <cell r="C376" t="str">
            <v>Organic thinner; Thinners, Dispersants</v>
          </cell>
        </row>
        <row r="377">
          <cell r="A377" t="str">
            <v>Fed-Seal</v>
          </cell>
          <cell r="C377" t="str">
            <v>Blended LCM; Lost Circulation Material</v>
          </cell>
        </row>
        <row r="378">
          <cell r="A378" t="str">
            <v>Fedxan D</v>
          </cell>
          <cell r="C378" t="str">
            <v>Xanthan gum viscosifier; Viscosifiers</v>
          </cell>
        </row>
        <row r="379">
          <cell r="A379" t="str">
            <v>Fer-Ox</v>
          </cell>
          <cell r="C379" t="str">
            <v>Ground hematite; Weighting Materials</v>
          </cell>
        </row>
        <row r="380">
          <cell r="A380" t="str">
            <v>Ferrowate</v>
          </cell>
          <cell r="C380" t="str">
            <v>Ferrous carbonate; Weighting Materials</v>
          </cell>
        </row>
        <row r="381">
          <cell r="A381" t="str">
            <v>Fiber Fluid Coarse</v>
          </cell>
          <cell r="C381" t="str">
            <v>Cellulose fiber; Lost Circulation Material</v>
          </cell>
        </row>
        <row r="382">
          <cell r="A382" t="str">
            <v>Fiber Fluid Fine</v>
          </cell>
          <cell r="C382" t="str">
            <v>Cellulose fiber; Lost Circulation Material</v>
          </cell>
        </row>
        <row r="383">
          <cell r="A383" t="str">
            <v>Fibersol</v>
          </cell>
          <cell r="C383" t="str">
            <v>Acid soluble LCM; Lost Circulation Material</v>
          </cell>
        </row>
        <row r="384">
          <cell r="A384" t="str">
            <v>Fibreseal</v>
          </cell>
          <cell r="C384" t="str">
            <v>Acid soluble LCM; lost circulation material</v>
          </cell>
        </row>
        <row r="385">
          <cell r="A385" t="str">
            <v>FilDril K</v>
          </cell>
          <cell r="C385" t="str">
            <v>Potassium silicate; Shale Control Inhibitors</v>
          </cell>
          <cell r="D385" t="str">
            <v>Complete Salt calculation; Advanced Gel Chem</v>
          </cell>
        </row>
        <row r="386">
          <cell r="A386" t="str">
            <v>Filter-Chek</v>
          </cell>
          <cell r="C386" t="str">
            <v>High-Temp Modified Starch; Filtrate Reducers</v>
          </cell>
        </row>
        <row r="387">
          <cell r="A387" t="str">
            <v>Filtravis</v>
          </cell>
          <cell r="C387" t="str">
            <v>Polymeric viscosifier/fluid loss reducer used in conjunction with bentonite; Viscosifiers</v>
          </cell>
        </row>
        <row r="388">
          <cell r="A388" t="str">
            <v>Filtravis II</v>
          </cell>
          <cell r="C388" t="str">
            <v>Enhanced foam viscosifier; Viscosifiers</v>
          </cell>
        </row>
        <row r="389">
          <cell r="A389" t="str">
            <v>Filtrex</v>
          </cell>
          <cell r="C389" t="str">
            <v>Polyanionic lignin resin; Filtrate Reducers</v>
          </cell>
        </row>
        <row r="390">
          <cell r="A390" t="str">
            <v>FL-2</v>
          </cell>
          <cell r="C390" t="str">
            <v>Water-soluble hydro colloids; Filtrate Reducers</v>
          </cell>
        </row>
        <row r="391">
          <cell r="A391" t="str">
            <v>FL-3</v>
          </cell>
          <cell r="C391" t="str">
            <v>Water-soluble hydro colloids; Filtrate Reducers</v>
          </cell>
        </row>
        <row r="392">
          <cell r="A392" t="str">
            <v>FL-4</v>
          </cell>
          <cell r="C392" t="str">
            <v>Water-soluble hydro colloids; Filtrate Reducers</v>
          </cell>
        </row>
        <row r="393">
          <cell r="A393" t="str">
            <v>FL-5</v>
          </cell>
          <cell r="C393" t="str">
            <v>Water-soluble hydro colloids; Filtrate Reducers</v>
          </cell>
        </row>
        <row r="394">
          <cell r="A394" t="str">
            <v>FL-6</v>
          </cell>
          <cell r="C394" t="str">
            <v>Water-soluble hydro colloids; Filtrate Reducers</v>
          </cell>
        </row>
        <row r="395">
          <cell r="A395" t="str">
            <v>FL-7 Plus</v>
          </cell>
          <cell r="C395" t="str">
            <v>Water-soluble hydro colloids; Filtrate Reducers</v>
          </cell>
        </row>
        <row r="396">
          <cell r="A396" t="str">
            <v>FL-9</v>
          </cell>
          <cell r="C396" t="str">
            <v>Water-soluble hydro colloids; Filtrate Reducers</v>
          </cell>
        </row>
        <row r="397">
          <cell r="A397" t="str">
            <v>Flake</v>
          </cell>
          <cell r="C397" t="str">
            <v>Cellophane flake; Lost Circulation Material</v>
          </cell>
        </row>
        <row r="398">
          <cell r="A398" t="str">
            <v>FLOC</v>
          </cell>
          <cell r="C398" t="str">
            <v>Dewatering material</v>
          </cell>
        </row>
        <row r="399">
          <cell r="A399" t="str">
            <v>Flo-Plex</v>
          </cell>
          <cell r="C399" t="str">
            <v>Polymeric fluid loss additive; Filtrate Reducers</v>
          </cell>
        </row>
        <row r="400">
          <cell r="A400" t="str">
            <v>Flopro NT</v>
          </cell>
          <cell r="C400" t="str">
            <v>Minimal solids non-damaging WBM; Systems</v>
          </cell>
        </row>
        <row r="401">
          <cell r="A401" t="str">
            <v>Flo-Trol</v>
          </cell>
          <cell r="C401" t="str">
            <v>Modified starch derivitive; Filtrate Reducers</v>
          </cell>
        </row>
        <row r="402">
          <cell r="A402" t="str">
            <v>Flo-Vis Plus</v>
          </cell>
          <cell r="C402" t="str">
            <v>Premium xanthan gum; Viscosifiers</v>
          </cell>
        </row>
        <row r="403">
          <cell r="A403" t="str">
            <v>Flowzan</v>
          </cell>
          <cell r="C403" t="str">
            <v>Xanthan gum dispersible; Viscosifiers</v>
          </cell>
        </row>
        <row r="404">
          <cell r="A404" t="str">
            <v>Floxit</v>
          </cell>
          <cell r="C404" t="str">
            <v>Organic flocculant; Flocculants</v>
          </cell>
        </row>
        <row r="405">
          <cell r="A405" t="str">
            <v>Foam Breaker</v>
          </cell>
          <cell r="C405" t="str">
            <v>Propietary defoamer; defoamer</v>
          </cell>
        </row>
        <row r="406">
          <cell r="A406" t="str">
            <v>Foam Buster</v>
          </cell>
          <cell r="C406" t="str">
            <v>Mechanical/Chemical defoamer; defoamer</v>
          </cell>
        </row>
        <row r="407">
          <cell r="A407" t="str">
            <v>Foam Check</v>
          </cell>
          <cell r="C407" t="str">
            <v>Mechanical/Chemical defoamer; defoamer</v>
          </cell>
        </row>
        <row r="408">
          <cell r="A408" t="str">
            <v>Form-A-Plug</v>
          </cell>
          <cell r="C408" t="str">
            <v>Acid soluble plug; Lost Circulation Material</v>
          </cell>
        </row>
        <row r="409">
          <cell r="A409" t="str">
            <v>Form-A-Plug II</v>
          </cell>
          <cell r="C409" t="str">
            <v>Acid soluble plug with smaller particles; Lost Circulation Material</v>
          </cell>
        </row>
        <row r="410">
          <cell r="A410" t="str">
            <v>Form-A-Set AK</v>
          </cell>
          <cell r="C410" t="str">
            <v>Polymeric LCM; Lost Circulation Material</v>
          </cell>
        </row>
        <row r="411">
          <cell r="A411" t="str">
            <v>Form-A-Set ALT</v>
          </cell>
          <cell r="C411" t="str">
            <v>Polymeric LCM for cold climates; Lost Circulation Material</v>
          </cell>
        </row>
        <row r="412">
          <cell r="A412" t="str">
            <v>Form-A-Set II</v>
          </cell>
          <cell r="C412" t="str">
            <v>Polymeric LCM; Lost Circulation Material</v>
          </cell>
        </row>
        <row r="413">
          <cell r="A413" t="str">
            <v>FS Liquid PHPA</v>
          </cell>
          <cell r="C413" t="str">
            <v>Liquid polyacrilimide; Flocculants</v>
          </cell>
        </row>
        <row r="414">
          <cell r="A414" t="str">
            <v>fx Brine</v>
          </cell>
          <cell r="C414" t="str">
            <v>Potassium formate; Shale Control Inhibitors</v>
          </cell>
          <cell r="D414" t="str">
            <v>Complete Salt calculation; Advanced Gel Chem</v>
          </cell>
        </row>
        <row r="415">
          <cell r="A415" t="str">
            <v>fx Mul I</v>
          </cell>
          <cell r="C415" t="str">
            <v>Primary emulsifier; emulsifier</v>
          </cell>
        </row>
        <row r="416">
          <cell r="A416" t="str">
            <v>fx Mul II</v>
          </cell>
          <cell r="C416" t="str">
            <v>Secondary emulsifier; emulsifier</v>
          </cell>
        </row>
        <row r="417">
          <cell r="A417" t="str">
            <v>fx Oil Scrub</v>
          </cell>
          <cell r="C417" t="str">
            <v>Oil soluble sulphide scavenger; corrosion inhibitor</v>
          </cell>
        </row>
        <row r="418">
          <cell r="A418" t="str">
            <v>fx Poly</v>
          </cell>
          <cell r="C418" t="str">
            <v>Blend of polymers; Viscosifiers</v>
          </cell>
        </row>
        <row r="419">
          <cell r="A419" t="str">
            <v>fx Scrub</v>
          </cell>
          <cell r="C419" t="str">
            <v>Water soluble sulphide scavenger; corrosion inhibitor</v>
          </cell>
        </row>
        <row r="420">
          <cell r="A420" t="str">
            <v>fx Thin</v>
          </cell>
          <cell r="C420" t="str">
            <v>Deflocculant; Thinners, Dispersants</v>
          </cell>
        </row>
        <row r="421">
          <cell r="A421" t="str">
            <v>Galena</v>
          </cell>
          <cell r="C421" t="str">
            <v>Lead sulphide powder; Weighting Materials</v>
          </cell>
        </row>
        <row r="422">
          <cell r="A422" t="str">
            <v>Gel</v>
          </cell>
          <cell r="C422" t="str">
            <v>Sodium montmorillonite or Attapulgite; Viscosifiers; also known as Bentonite</v>
          </cell>
        </row>
        <row r="423">
          <cell r="A423" t="str">
            <v>Gelex</v>
          </cell>
          <cell r="C423" t="str">
            <v>Bentonite extender; Viscosifiers</v>
          </cell>
        </row>
        <row r="424">
          <cell r="A424" t="str">
            <v>Geltone II</v>
          </cell>
          <cell r="C424" t="str">
            <v>Oil mud gelling agent; Viscosifiers</v>
          </cell>
          <cell r="D424" t="str">
            <v>Invert, hydrocarbons?</v>
          </cell>
        </row>
        <row r="425">
          <cell r="A425" t="str">
            <v>Geltone IV</v>
          </cell>
          <cell r="C425" t="str">
            <v>Polymer treated organophilic clay; Viscosifiers</v>
          </cell>
        </row>
        <row r="426">
          <cell r="A426" t="str">
            <v>Geltone V</v>
          </cell>
          <cell r="C426" t="str">
            <v>Amine treated organophilic clay; Viscosifiers</v>
          </cell>
        </row>
        <row r="427">
          <cell r="A427" t="str">
            <v>Geovis XT</v>
          </cell>
          <cell r="C427" t="str">
            <v>HT stable bioploymer; Viscosifiers</v>
          </cell>
        </row>
        <row r="428">
          <cell r="A428" t="str">
            <v>Gilsonite</v>
          </cell>
          <cell r="C428" t="str">
            <v>Natural bitumen; Shale Control Inhibitors</v>
          </cell>
        </row>
        <row r="429">
          <cell r="A429" t="str">
            <v>Gilsonite HT</v>
          </cell>
          <cell r="C429" t="str">
            <v>Natural bitumen pulverized; Filtrate Reducers</v>
          </cell>
          <cell r="D429" t="str">
            <v>Hydrocarbons - note in Compliance Option Checklist</v>
          </cell>
        </row>
        <row r="430">
          <cell r="A430" t="str">
            <v>Glass Beads</v>
          </cell>
          <cell r="C430" t="str">
            <v>Sized glass beads; Lubricants</v>
          </cell>
        </row>
        <row r="431">
          <cell r="A431" t="str">
            <v>Glide Graph 7001</v>
          </cell>
          <cell r="C431" t="str">
            <v>Resilient spherical graphite inert; Lubricants</v>
          </cell>
        </row>
        <row r="432">
          <cell r="A432" t="str">
            <v>Glydril</v>
          </cell>
          <cell r="C432" t="str">
            <v>Polyalkylene glycol; Shale Control Inhibitors</v>
          </cell>
          <cell r="D432" t="str">
            <v>Glycols</v>
          </cell>
        </row>
        <row r="433">
          <cell r="A433" t="str">
            <v>Go Devil II</v>
          </cell>
          <cell r="C433" t="str">
            <v>Provides LSRV for AHPHRON ICS system; Viscosifiers</v>
          </cell>
        </row>
        <row r="434">
          <cell r="A434" t="str">
            <v>Graphite Powder</v>
          </cell>
          <cell r="C434" t="str">
            <v>Graphite; Lubricants</v>
          </cell>
        </row>
        <row r="435">
          <cell r="A435" t="str">
            <v>Greencide</v>
          </cell>
          <cell r="C435" t="str">
            <v>Non-U.S. Biocide; bactericides</v>
          </cell>
        </row>
        <row r="436">
          <cell r="A436" t="str">
            <v>G-Seal</v>
          </cell>
          <cell r="C436" t="str">
            <v>Graphite plugging agent; Lost Circulation Material</v>
          </cell>
        </row>
        <row r="437">
          <cell r="A437" t="str">
            <v>Gumbo Shield</v>
          </cell>
          <cell r="C437" t="str">
            <v>Liquid shale inhibitor; Shale Control Inhibitors</v>
          </cell>
        </row>
        <row r="438">
          <cell r="A438" t="str">
            <v>Gypsum</v>
          </cell>
          <cell r="C438" t="str">
            <v>Calcium sulphate; Shale Control Inhibitors</v>
          </cell>
          <cell r="D438" t="str">
            <v>Complete Salt calculation</v>
          </cell>
        </row>
        <row r="439">
          <cell r="A439" t="str">
            <v>H.E.C.</v>
          </cell>
          <cell r="C439" t="str">
            <v>Hydroxyehtyl cellulose; Viscosifiers</v>
          </cell>
        </row>
        <row r="440">
          <cell r="A440" t="str">
            <v>H.M.E. Coupler</v>
          </cell>
          <cell r="C440" t="str">
            <v>Non-ionic surfactant; Surface Active Agents</v>
          </cell>
        </row>
        <row r="441">
          <cell r="A441" t="str">
            <v>Hibtrol</v>
          </cell>
          <cell r="C441" t="str">
            <v>Modified cellulosic polymer; Filtrate Reducers</v>
          </cell>
        </row>
        <row r="442">
          <cell r="A442" t="str">
            <v>High Permas</v>
          </cell>
          <cell r="C442" t="str">
            <v>Amine; Shale Control Inhibitors</v>
          </cell>
        </row>
        <row r="443">
          <cell r="A443" t="str">
            <v>High Yield Bentonite</v>
          </cell>
          <cell r="C443" t="str">
            <v>High grade Wyoming sodium bentonite; clay, viscosifier</v>
          </cell>
        </row>
        <row r="444">
          <cell r="A444" t="str">
            <v>HSO 600 G</v>
          </cell>
          <cell r="C444" t="str">
            <v>Oil-soluble H2S scavenger; corrosion inhibitor</v>
          </cell>
        </row>
        <row r="445">
          <cell r="A445" t="str">
            <v>HSW 705</v>
          </cell>
          <cell r="C445" t="str">
            <v>Liquid H2S scavenger; corrosion inhibitor</v>
          </cell>
        </row>
        <row r="446">
          <cell r="A446" t="str">
            <v>HSW0705</v>
          </cell>
          <cell r="C446" t="str">
            <v>Liquid H2S scavenger; corrosion inhibitor</v>
          </cell>
        </row>
        <row r="447">
          <cell r="A447" t="str">
            <v>Humalite</v>
          </cell>
          <cell r="C447" t="str">
            <v>Lignite; Thinners, Dispersants</v>
          </cell>
        </row>
        <row r="448">
          <cell r="A448" t="str">
            <v>Hydrogel</v>
          </cell>
          <cell r="C448" t="str">
            <v>Wyoming bentonite; Viscosifiers</v>
          </cell>
        </row>
        <row r="449">
          <cell r="A449" t="str">
            <v>Hydro-Guard</v>
          </cell>
          <cell r="C449" t="str">
            <v>High performance WBM; Systems</v>
          </cell>
        </row>
        <row r="450">
          <cell r="A450" t="str">
            <v>Hydro-Plug</v>
          </cell>
          <cell r="C450" t="str">
            <v>Polymeric LCM for vugular or cavernous formations; Lost Circulation Material</v>
          </cell>
        </row>
        <row r="451">
          <cell r="A451" t="str">
            <v>Hyperdrill AD855</v>
          </cell>
          <cell r="C451" t="str">
            <v>Liquid HMW anionic polyacrylamide; Shale Control Inhibitors</v>
          </cell>
        </row>
        <row r="452">
          <cell r="A452" t="str">
            <v>Hyperdrill AE851</v>
          </cell>
          <cell r="C452" t="str">
            <v>Liquid HMW anionic polyacrylamide; Shale Control Inhibitors</v>
          </cell>
        </row>
        <row r="453">
          <cell r="A453" t="str">
            <v>Hyperdrill AF204RD</v>
          </cell>
          <cell r="C453" t="str">
            <v>Anionic polyacrylamide; Flocculants</v>
          </cell>
        </row>
        <row r="454">
          <cell r="A454" t="str">
            <v>Hyperdrill AF207RD</v>
          </cell>
          <cell r="C454" t="str">
            <v>High Mol wt. Anionic polyacrylamide; Flocculants</v>
          </cell>
        </row>
        <row r="455">
          <cell r="A455" t="str">
            <v>Hyperdrill AF247RD</v>
          </cell>
          <cell r="C455" t="str">
            <v>LMW anionic dispersible PHPA; Shale Control Inhibitors</v>
          </cell>
        </row>
        <row r="456">
          <cell r="A456" t="str">
            <v>Hyperdrill CP 905H</v>
          </cell>
          <cell r="C456" t="str">
            <v>HMW cationic PHPA; Shale Control Inhibitors</v>
          </cell>
        </row>
        <row r="457">
          <cell r="A457" t="str">
            <v>Hyperfloc CP910</v>
          </cell>
          <cell r="C457" t="str">
            <v>Cationic polyacrylamide; Flocculants</v>
          </cell>
        </row>
        <row r="458">
          <cell r="A458" t="str">
            <v>Hyperfloc CP911</v>
          </cell>
          <cell r="C458" t="str">
            <v>Cationic polyacrylamide; Flocculants</v>
          </cell>
        </row>
        <row r="459">
          <cell r="A459" t="str">
            <v>Hyperfloc NF301</v>
          </cell>
          <cell r="C459" t="str">
            <v>Non-ionic polyacrylamide; Flocculants</v>
          </cell>
        </row>
        <row r="460">
          <cell r="A460" t="str">
            <v>Hypochlorite</v>
          </cell>
          <cell r="C460" t="str">
            <v>Sodium or Calcium Hypochlorite; oxidize and degrade polymers; bactericides</v>
          </cell>
        </row>
        <row r="461">
          <cell r="A461" t="str">
            <v>Hysal-Plus</v>
          </cell>
          <cell r="C461" t="str">
            <v>Water soluble filtrate additive brines; Filtrate Reducers</v>
          </cell>
        </row>
        <row r="462">
          <cell r="A462" t="str">
            <v>I - Step Pak</v>
          </cell>
          <cell r="C462" t="str">
            <v>Multi-funct. Packer fluid inhib &amp; freeze protection; corrosion inhibitor</v>
          </cell>
        </row>
        <row r="463">
          <cell r="A463" t="str">
            <v>IC- foam 1978</v>
          </cell>
          <cell r="C463" t="str">
            <v>Winterized foamer (water soluble); Foaming Agents</v>
          </cell>
        </row>
        <row r="464">
          <cell r="A464" t="str">
            <v>IC-CORR 7029</v>
          </cell>
          <cell r="C464" t="str">
            <v>Winterized liquid corrosion inhibitor (oil soluble); corrosion inhibitor</v>
          </cell>
        </row>
        <row r="465">
          <cell r="A465" t="str">
            <v>IC-CORR 8551</v>
          </cell>
          <cell r="C465" t="str">
            <v>Liquid corrosion inhibitor (water soluble); corrosion inhibitor</v>
          </cell>
        </row>
        <row r="466">
          <cell r="A466" t="str">
            <v>IC-DEFOAM 1489</v>
          </cell>
          <cell r="C466" t="str">
            <v>Winterized antifoam (water soluble); defoamer</v>
          </cell>
        </row>
        <row r="467">
          <cell r="A467" t="str">
            <v>IC-DEFOAM 1983</v>
          </cell>
          <cell r="C467" t="str">
            <v>Winterized antifoam (oil soluble); defoamer</v>
          </cell>
        </row>
        <row r="468">
          <cell r="A468" t="str">
            <v>IC-floc 2069</v>
          </cell>
          <cell r="C468" t="str">
            <v>Microtox friendly liquid flocculant (water soluble); Flocculants</v>
          </cell>
        </row>
        <row r="469">
          <cell r="A469" t="str">
            <v>IC-floc 2200</v>
          </cell>
          <cell r="C469" t="str">
            <v>Microtox friendly liquid flocculant (water soluble); Flocculants</v>
          </cell>
        </row>
        <row r="470">
          <cell r="A470" t="str">
            <v>IC-foam 1401</v>
          </cell>
          <cell r="C470" t="str">
            <v>Winterized foaming agent (water soluble); Foaming Agents</v>
          </cell>
        </row>
        <row r="471">
          <cell r="A471" t="str">
            <v>IC-foam 1540</v>
          </cell>
          <cell r="C471" t="str">
            <v>Winterized oil foaming agent; Foaming Agents</v>
          </cell>
        </row>
        <row r="472">
          <cell r="A472" t="str">
            <v>IC-foam 1336</v>
          </cell>
          <cell r="C472" t="str">
            <v>Multi-charge capable foaming agent (water soluble); Foaming Agents</v>
          </cell>
        </row>
        <row r="473">
          <cell r="A473" t="str">
            <v>IC-HSCAV 4412</v>
          </cell>
          <cell r="C473" t="str">
            <v>Winterized liquid H2S scavenger (oil soluble); corrosion inhibitor</v>
          </cell>
        </row>
        <row r="474">
          <cell r="A474" t="str">
            <v>IC-HSCAV 4751</v>
          </cell>
          <cell r="C474" t="str">
            <v>Winterized liquid scavenger (water soluble high-temp); corrosion inhibitor</v>
          </cell>
        </row>
        <row r="475">
          <cell r="A475" t="str">
            <v>IC-HSCAV 4935</v>
          </cell>
          <cell r="C475" t="str">
            <v>Winterized liquid H2S scavenger (water soluble); corrosion inhibitor</v>
          </cell>
        </row>
        <row r="476">
          <cell r="A476" t="str">
            <v>IC-OSCAV 1050</v>
          </cell>
          <cell r="C476" t="str">
            <v>Winterized catalyzed oxygen scavenger; corrosion inhibitor</v>
          </cell>
        </row>
        <row r="477">
          <cell r="A477" t="str">
            <v>IC-Wet</v>
          </cell>
          <cell r="C477" t="str">
            <v>water wetting agent (winterized); Surface Active Agents</v>
          </cell>
        </row>
        <row r="478">
          <cell r="A478" t="str">
            <v>Idcap D</v>
          </cell>
          <cell r="C478" t="str">
            <v>Polymeric shale inhibitor; Shale Control Inhibitors</v>
          </cell>
        </row>
        <row r="479">
          <cell r="A479" t="str">
            <v>Idlube</v>
          </cell>
          <cell r="C479" t="str">
            <v>Refined vegetable oil; Lubricants</v>
          </cell>
        </row>
        <row r="480">
          <cell r="A480" t="str">
            <v>Idlube XL</v>
          </cell>
          <cell r="C480" t="str">
            <v>Extreme pressure lubricant; Lubricants</v>
          </cell>
        </row>
        <row r="481">
          <cell r="A481" t="str">
            <v>Imco Bar</v>
          </cell>
          <cell r="C481" t="str">
            <v>Barite; Weighting Materials</v>
          </cell>
          <cell r="D481" t="str">
            <v>Complete Ba calculations</v>
          </cell>
        </row>
        <row r="482">
          <cell r="A482" t="str">
            <v>Imco Best</v>
          </cell>
          <cell r="C482" t="str">
            <v>Asbestos fibers; Viscosifiers</v>
          </cell>
          <cell r="D482" t="str">
            <v>Asbestos testing?</v>
          </cell>
        </row>
        <row r="483">
          <cell r="A483" t="str">
            <v>Imco Brinegel</v>
          </cell>
          <cell r="C483" t="str">
            <v>Attapulgite; Viscosifiers</v>
          </cell>
        </row>
        <row r="484">
          <cell r="A484" t="str">
            <v>Imco Cal</v>
          </cell>
          <cell r="C484" t="str">
            <v>Calcium lignosulfate; Thinners, Dispersants</v>
          </cell>
        </row>
        <row r="485">
          <cell r="A485" t="str">
            <v>Imco CMC (reg,hivis,tech)</v>
          </cell>
          <cell r="C485" t="str">
            <v>Sodium carboxymethyl cellulose; Filtrate Reducers</v>
          </cell>
        </row>
        <row r="486">
          <cell r="A486" t="str">
            <v>Imco Defoam</v>
          </cell>
          <cell r="C486" t="str">
            <v>Sodium alkyl aryl sulfonate; defoamer</v>
          </cell>
        </row>
        <row r="487">
          <cell r="A487" t="str">
            <v>Imco EP Lube</v>
          </cell>
          <cell r="C487" t="str">
            <v>extreme pressure lubricant; Lubricants</v>
          </cell>
        </row>
        <row r="488">
          <cell r="A488" t="str">
            <v>Imco Flakes</v>
          </cell>
          <cell r="C488" t="str">
            <v>Cellophane flake; Lost Circulation Material</v>
          </cell>
        </row>
        <row r="489">
          <cell r="A489" t="str">
            <v>Imco Flo</v>
          </cell>
          <cell r="C489" t="str">
            <v>Hemlock extract; Thinners, Dispersants</v>
          </cell>
        </row>
        <row r="490">
          <cell r="A490" t="str">
            <v>Imco Floc</v>
          </cell>
          <cell r="C490" t="str">
            <v>Flocculating agent; Flocculants</v>
          </cell>
        </row>
        <row r="491">
          <cell r="A491" t="str">
            <v>Imco Foamban</v>
          </cell>
          <cell r="C491" t="str">
            <v>Surface active dispersible liquid defoamer; defoamer</v>
          </cell>
        </row>
        <row r="492">
          <cell r="A492" t="str">
            <v>Imco Freepipe</v>
          </cell>
          <cell r="C492" t="str">
            <v>Oil soluble surfactants; Lubricants</v>
          </cell>
        </row>
        <row r="493">
          <cell r="A493" t="str">
            <v>Imco Fyber</v>
          </cell>
          <cell r="C493" t="str">
            <v>Fibrous material; Lost Circulation Material</v>
          </cell>
        </row>
        <row r="494">
          <cell r="A494" t="str">
            <v>Imco Gel</v>
          </cell>
          <cell r="C494" t="str">
            <v>Bentonite; Viscosifiers</v>
          </cell>
        </row>
        <row r="495">
          <cell r="A495" t="str">
            <v>Imco Gelex</v>
          </cell>
          <cell r="C495" t="str">
            <v>Bentonite extender; Viscosifiers</v>
          </cell>
        </row>
        <row r="496">
          <cell r="A496" t="str">
            <v>Imco Holecoat</v>
          </cell>
          <cell r="C496" t="str">
            <v>Water dispersible ashphalt; Lubricants</v>
          </cell>
        </row>
        <row r="497">
          <cell r="A497" t="str">
            <v>Imco Hyb</v>
          </cell>
          <cell r="C497" t="str">
            <v>Beneficiated bentonite; Viscosifiers</v>
          </cell>
        </row>
        <row r="498">
          <cell r="A498" t="str">
            <v>Imco Ken-Gel</v>
          </cell>
          <cell r="C498" t="str">
            <v>Viscosifier &amp; gelling agent; Viscosifiers</v>
          </cell>
        </row>
        <row r="499">
          <cell r="A499" t="str">
            <v>Imco Kenol-S</v>
          </cell>
          <cell r="C499" t="str">
            <v>Invert emulsion system; Systems</v>
          </cell>
          <cell r="D499" t="str">
            <v>Invert, hydrocarbons</v>
          </cell>
        </row>
        <row r="500">
          <cell r="A500" t="str">
            <v>Imco Kenol-S(D)</v>
          </cell>
          <cell r="C500" t="str">
            <v>Primary emulsifier; emulsifier</v>
          </cell>
        </row>
        <row r="501">
          <cell r="A501" t="str">
            <v>Imco Kenox</v>
          </cell>
          <cell r="C501" t="str">
            <v>Calcium oxide; Shale Control Inhibitors</v>
          </cell>
          <cell r="D501" t="str">
            <v>Potential salt concern</v>
          </cell>
        </row>
        <row r="502">
          <cell r="A502" t="str">
            <v>Imco Ken-Pak</v>
          </cell>
          <cell r="C502" t="str">
            <v>Specially modified saponified fatty acid chemicals; emulsifier</v>
          </cell>
        </row>
        <row r="503">
          <cell r="A503" t="str">
            <v>Imco Ken-Pak</v>
          </cell>
          <cell r="C503" t="str">
            <v>Gelatinous oil base fluid; Systems</v>
          </cell>
        </row>
        <row r="504">
          <cell r="A504" t="str">
            <v>Imco Ken-Supreme</v>
          </cell>
          <cell r="C504" t="str">
            <v>Oil base mud; Systems</v>
          </cell>
          <cell r="D504" t="str">
            <v>Hydrocarbons</v>
          </cell>
        </row>
        <row r="505">
          <cell r="A505" t="str">
            <v>Imco Ken-Supreme A</v>
          </cell>
          <cell r="C505" t="str">
            <v>Fatty acid emulsifier; emulsifier</v>
          </cell>
        </row>
        <row r="506">
          <cell r="A506" t="str">
            <v>Imco Ken-Supreme B</v>
          </cell>
          <cell r="C506" t="str">
            <v>Emulsion stabilzer; emulsifier</v>
          </cell>
        </row>
        <row r="507">
          <cell r="A507" t="str">
            <v>Imco Ken-Thin</v>
          </cell>
          <cell r="C507" t="str">
            <v>Dispersant; Thinners, Dispersants</v>
          </cell>
        </row>
        <row r="508">
          <cell r="A508" t="str">
            <v>Imco Ken-X</v>
          </cell>
          <cell r="C508" t="str">
            <v>High temperature stabilizer; emulsifier</v>
          </cell>
        </row>
        <row r="509">
          <cell r="A509" t="str">
            <v>Imco Ken-X</v>
          </cell>
          <cell r="C509" t="str">
            <v>Invert emulsion system; Systems</v>
          </cell>
          <cell r="D509" t="str">
            <v>Invert, hydrocarbons</v>
          </cell>
        </row>
        <row r="510">
          <cell r="A510" t="str">
            <v>Imco Klay</v>
          </cell>
          <cell r="C510" t="str">
            <v>Sub-bentonite; Viscosifiers</v>
          </cell>
        </row>
        <row r="511">
          <cell r="A511" t="str">
            <v>Imco Kwikseal</v>
          </cell>
          <cell r="C511" t="str">
            <v>Combination of granules,flakes and fibrous materials; Lost Circulation Material</v>
          </cell>
        </row>
        <row r="512">
          <cell r="A512" t="str">
            <v>Imco Lig</v>
          </cell>
          <cell r="C512" t="str">
            <v>Mined lignite; Thinners, Dispersants</v>
          </cell>
        </row>
        <row r="513">
          <cell r="A513" t="str">
            <v>Imco Loid</v>
          </cell>
          <cell r="C513" t="str">
            <v>Pregeletanized starch; Filtrate Reducers</v>
          </cell>
        </row>
        <row r="514">
          <cell r="A514" t="str">
            <v>Imco Lubrikleen</v>
          </cell>
          <cell r="C514" t="str">
            <v>Organic entity neutralized with amines; Lubricants</v>
          </cell>
        </row>
        <row r="515">
          <cell r="A515" t="str">
            <v>Imco MD</v>
          </cell>
          <cell r="C515" t="str">
            <v>Detergent; Lubricants</v>
          </cell>
        </row>
        <row r="516">
          <cell r="A516" t="str">
            <v>Imco Mud Oil</v>
          </cell>
          <cell r="C516" t="str">
            <v>Oil dispersible ashphalt; Lubricants</v>
          </cell>
        </row>
        <row r="517">
          <cell r="A517" t="str">
            <v>Imco Myca (F,C)</v>
          </cell>
          <cell r="C517" t="str">
            <v>Ground Mica; Lost Circulation Material</v>
          </cell>
        </row>
        <row r="518">
          <cell r="A518" t="str">
            <v>Imco Oil-X</v>
          </cell>
          <cell r="C518" t="str">
            <v>Low cost invert emulsion system; Systems</v>
          </cell>
          <cell r="D518" t="str">
            <v>Invert, hydrocarbons</v>
          </cell>
        </row>
        <row r="519">
          <cell r="A519" t="str">
            <v>Imco Phos</v>
          </cell>
          <cell r="C519" t="str">
            <v>Sodium tetraphosphate; Thinners, Dispersants</v>
          </cell>
        </row>
        <row r="520">
          <cell r="A520" t="str">
            <v>Imco Plug (F,M,C)</v>
          </cell>
          <cell r="C520" t="str">
            <v>Walnut shells; Lost Circulation Material</v>
          </cell>
        </row>
        <row r="521">
          <cell r="A521" t="str">
            <v>Imco Preservaloid</v>
          </cell>
          <cell r="C521" t="str">
            <v>Paraformaldehyde; bactericides</v>
          </cell>
        </row>
        <row r="522">
          <cell r="A522" t="str">
            <v>Imco PT-102</v>
          </cell>
          <cell r="C522" t="str">
            <v>Filming amine; corrosion inhibitor</v>
          </cell>
        </row>
        <row r="523">
          <cell r="A523" t="str">
            <v>Imco QBT</v>
          </cell>
          <cell r="C523" t="str">
            <v>Quebracho compound; Thinners, Dispersants</v>
          </cell>
        </row>
        <row r="524">
          <cell r="A524" t="str">
            <v>Imco RD-111</v>
          </cell>
          <cell r="C524" t="str">
            <v>Blended lignosulfonate blend; Thinners, Dispersants</v>
          </cell>
        </row>
        <row r="525">
          <cell r="A525" t="str">
            <v>Imco SCR</v>
          </cell>
          <cell r="C525" t="str">
            <v>Shale control reagent; Specialty products</v>
          </cell>
        </row>
        <row r="526">
          <cell r="A526" t="str">
            <v>Imco Spot</v>
          </cell>
          <cell r="C526" t="str">
            <v>Blend of fatty acids, sulfonates &amp; ashphaltic materials; Lubricants</v>
          </cell>
        </row>
        <row r="527">
          <cell r="A527" t="str">
            <v>Imco Sulf-X</v>
          </cell>
          <cell r="C527" t="str">
            <v>Specially blended zinc carbonate; corrosion inhibitor</v>
          </cell>
          <cell r="D527" t="str">
            <v>Complete Zn calculations</v>
          </cell>
        </row>
        <row r="528">
          <cell r="A528" t="str">
            <v>Imco SWS</v>
          </cell>
          <cell r="C528" t="str">
            <v>Blend of anionic surfactants; emulsifier</v>
          </cell>
        </row>
        <row r="529">
          <cell r="A529" t="str">
            <v>Imco Thin</v>
          </cell>
          <cell r="C529" t="str">
            <v>Causticized Lignite; Thinners, Dispersants</v>
          </cell>
        </row>
        <row r="530">
          <cell r="A530" t="str">
            <v>Imco VC-10</v>
          </cell>
          <cell r="C530" t="str">
            <v>Modified lignosulfonate; Thinners, Dispersants</v>
          </cell>
        </row>
        <row r="531">
          <cell r="A531" t="str">
            <v>Imco VR</v>
          </cell>
          <cell r="C531" t="str">
            <v>Stabilizes borehole conditions; emulsifier</v>
          </cell>
        </row>
        <row r="532">
          <cell r="A532" t="str">
            <v>Imco Wate</v>
          </cell>
          <cell r="C532" t="str">
            <v>Calcium carbonate; Weighting Materials</v>
          </cell>
        </row>
        <row r="533">
          <cell r="A533" t="str">
            <v>Imco Wool</v>
          </cell>
          <cell r="C533" t="str">
            <v>Fibrous material wool; Lost Circulation Material</v>
          </cell>
        </row>
        <row r="534">
          <cell r="A534" t="str">
            <v>Imco XC</v>
          </cell>
          <cell r="C534" t="str">
            <v>Bacterially produced polymer; Viscosifiers</v>
          </cell>
        </row>
        <row r="535">
          <cell r="A535" t="str">
            <v>Impermex</v>
          </cell>
          <cell r="C535" t="str">
            <v>Pregeletanized starch; Filtrate Reducers</v>
          </cell>
        </row>
        <row r="536">
          <cell r="A536" t="str">
            <v>Inhibi-drill</v>
          </cell>
          <cell r="C536" t="str">
            <v>Cationic organic mulitvalent inhibitor; Shale Control Inhibitors</v>
          </cell>
        </row>
        <row r="537">
          <cell r="A537" t="str">
            <v>Inhibox</v>
          </cell>
          <cell r="C537" t="str">
            <v>Corrosion inhibitor/oxygen scavenger; corrosion inhibitor</v>
          </cell>
        </row>
        <row r="538">
          <cell r="A538" t="str">
            <v>Insta-Flake</v>
          </cell>
          <cell r="C538" t="str">
            <v>Flake calcium carbonate; Lost Circulation Material</v>
          </cell>
        </row>
        <row r="539">
          <cell r="A539" t="str">
            <v>Invermul</v>
          </cell>
          <cell r="C539" t="str">
            <v>Oil mud stabilizer non-toxic; emulsifier</v>
          </cell>
          <cell r="D539" t="str">
            <v>Invert, hydrocarbons</v>
          </cell>
        </row>
        <row r="540">
          <cell r="A540" t="str">
            <v>Invermul NT</v>
          </cell>
          <cell r="C540" t="str">
            <v>Oil mud stabilizer non-toxic; emulsifier</v>
          </cell>
          <cell r="D540" t="str">
            <v>Invert, hydrocarbons</v>
          </cell>
        </row>
        <row r="541">
          <cell r="A541" t="str">
            <v>Invert HT-40</v>
          </cell>
          <cell r="C541" t="str">
            <v>Oil mud stabilizer; emulsifier</v>
          </cell>
          <cell r="D541" t="str">
            <v>Invert, hydrocarbons</v>
          </cell>
        </row>
        <row r="542">
          <cell r="A542" t="str">
            <v>Jelflake</v>
          </cell>
          <cell r="C542" t="str">
            <v>Shredded cellophane; Lost Circulation Material</v>
          </cell>
        </row>
        <row r="543">
          <cell r="A543" t="str">
            <v>Jet Cide 250</v>
          </cell>
          <cell r="C543" t="str">
            <v>Gluteraldehyde; bactericides</v>
          </cell>
        </row>
        <row r="544">
          <cell r="A544" t="str">
            <v>Jet Hib 5000</v>
          </cell>
          <cell r="C544" t="str">
            <v>H2S scavenger; corrosion inhibitor</v>
          </cell>
        </row>
        <row r="545">
          <cell r="A545" t="str">
            <v>Jet Hib 5426</v>
          </cell>
          <cell r="C545" t="str">
            <v>Corrosion inhibitor; corrosion inhibitor</v>
          </cell>
        </row>
        <row r="546">
          <cell r="A546" t="str">
            <v>Jet Hib 5432</v>
          </cell>
          <cell r="C546" t="str">
            <v>Oxygen scavenger; corrosion inhibitor</v>
          </cell>
        </row>
        <row r="547">
          <cell r="A547" t="str">
            <v>Jet Stim 8000</v>
          </cell>
          <cell r="C547" t="str">
            <v>Drilling detergent; Surface Active Agents</v>
          </cell>
        </row>
        <row r="548">
          <cell r="A548" t="str">
            <v>K-2</v>
          </cell>
          <cell r="C548" t="str">
            <v>Cationic organic mulitvalent inhibitor; Shale Control Inhibitors</v>
          </cell>
        </row>
        <row r="549">
          <cell r="A549" t="str">
            <v>K2 (Enviro K2)</v>
          </cell>
          <cell r="C549" t="str">
            <v>Potassium mud product; Systems</v>
          </cell>
          <cell r="D549" t="str">
            <v>Potential salt concern</v>
          </cell>
        </row>
        <row r="550">
          <cell r="A550" t="str">
            <v>Kari</v>
          </cell>
          <cell r="C550" t="str">
            <v>Stabilized HEC; Viscosifiers</v>
          </cell>
        </row>
        <row r="551">
          <cell r="A551" t="str">
            <v>KD 700</v>
          </cell>
          <cell r="C551" t="str">
            <v>Corrosion and carbonate scale inhibitor</v>
          </cell>
        </row>
        <row r="552">
          <cell r="A552" t="str">
            <v>KD-40</v>
          </cell>
          <cell r="C552" t="str">
            <v>Phosphate ester corrosion inhibitor; corrosion inhibitor</v>
          </cell>
        </row>
        <row r="553">
          <cell r="A553" t="str">
            <v>Kelzan L</v>
          </cell>
          <cell r="C553" t="str">
            <v>Liquid xanthan gum; Viscosifiers</v>
          </cell>
        </row>
        <row r="554">
          <cell r="A554" t="str">
            <v>Kelzan XC</v>
          </cell>
          <cell r="C554" t="str">
            <v>Xanthan gum; Viscosifiers</v>
          </cell>
        </row>
        <row r="555">
          <cell r="A555" t="str">
            <v>Kelzan XCD</v>
          </cell>
          <cell r="C555" t="str">
            <v>Dispersible grade xanthan gum; Viscosifiers</v>
          </cell>
        </row>
        <row r="556">
          <cell r="A556" t="str">
            <v>Kem-Seal</v>
          </cell>
          <cell r="C556" t="str">
            <v>Co-polymer for high-temp filtration control; Filtrate Reducers</v>
          </cell>
        </row>
        <row r="557">
          <cell r="A557" t="str">
            <v>Kim-Mud</v>
          </cell>
          <cell r="C557" t="str">
            <v>Polymer and sized carbonate; Viscosifiers</v>
          </cell>
        </row>
        <row r="558">
          <cell r="A558" t="str">
            <v>Kontrol</v>
          </cell>
          <cell r="C558" t="str">
            <v>Sulfonated asphalt; Shale Control Inhibitors</v>
          </cell>
        </row>
        <row r="559">
          <cell r="A559" t="str">
            <v>K-Power</v>
          </cell>
          <cell r="C559" t="str">
            <v>Potassium nitrate; Shale Control Inhibitors</v>
          </cell>
          <cell r="D559" t="str">
            <v>Complete Salt calculation; Advanced Gel Chem</v>
          </cell>
        </row>
        <row r="560">
          <cell r="A560" t="str">
            <v>Kwik-Seal</v>
          </cell>
          <cell r="C560" t="str">
            <v>Combination LCM; Lost Circulation Material</v>
          </cell>
        </row>
        <row r="561">
          <cell r="A561" t="str">
            <v>L.C.M</v>
          </cell>
          <cell r="C561" t="str">
            <v>Lost circulation Material; Cellulose</v>
          </cell>
        </row>
        <row r="562">
          <cell r="A562" t="str">
            <v>LC-LUBE</v>
          </cell>
          <cell r="C562" t="str">
            <v>Low toxicity lubricant</v>
          </cell>
        </row>
        <row r="563">
          <cell r="A563" t="str">
            <v>LD-8</v>
          </cell>
          <cell r="C563" t="str">
            <v>Nonhydrocarbon defoamer; defoamer</v>
          </cell>
        </row>
        <row r="564">
          <cell r="A564" t="str">
            <v>LD-9</v>
          </cell>
          <cell r="C564" t="str">
            <v>Polyether polyol defoamer for both fresh &amp; saltwater drilling fluids; defoamer</v>
          </cell>
        </row>
        <row r="565">
          <cell r="A565" t="str">
            <v>Le Mul</v>
          </cell>
          <cell r="C565" t="str">
            <v>LAO emulsion stabilizer; emulsifier</v>
          </cell>
        </row>
        <row r="566">
          <cell r="A566" t="str">
            <v>Le Supermul</v>
          </cell>
          <cell r="C566" t="str">
            <v>LAO emulsifier; emulsifier</v>
          </cell>
        </row>
        <row r="567">
          <cell r="A567" t="str">
            <v>Ligco</v>
          </cell>
          <cell r="C567" t="str">
            <v>Lignite; Thinners, Dispersants</v>
          </cell>
        </row>
        <row r="568">
          <cell r="A568" t="str">
            <v>Ligcon</v>
          </cell>
          <cell r="C568" t="str">
            <v>Causticized Lignite; Thinners, Dispersants</v>
          </cell>
        </row>
        <row r="569">
          <cell r="A569" t="str">
            <v>Lignite</v>
          </cell>
          <cell r="C569" t="str">
            <v>Lignite (Humic acid); Thinners, Dispersants</v>
          </cell>
        </row>
        <row r="570">
          <cell r="A570" t="str">
            <v>Lignite, Causticized</v>
          </cell>
          <cell r="C570" t="str">
            <v>Lignite, causticized; Thinners, Dispersants</v>
          </cell>
        </row>
        <row r="571">
          <cell r="A571" t="str">
            <v>Lignocal</v>
          </cell>
          <cell r="C571" t="str">
            <v>Calcium lignosulfate; Thinners, Dispersants</v>
          </cell>
        </row>
        <row r="572">
          <cell r="A572" t="str">
            <v>Lime</v>
          </cell>
          <cell r="C572" t="str">
            <v>Hydrated Lime; alkalinity pH control</v>
          </cell>
          <cell r="D572" t="str">
            <v>Complete Salt calculation</v>
          </cell>
        </row>
        <row r="573">
          <cell r="A573" t="str">
            <v>Liquid Drispac</v>
          </cell>
          <cell r="C573" t="str">
            <v>Polyanionic cellulose; Viscosifiers</v>
          </cell>
        </row>
        <row r="574">
          <cell r="A574" t="str">
            <v>Liquid Flowzan</v>
          </cell>
          <cell r="C574" t="str">
            <v>Suspended xanthan gum; Viscosifiers</v>
          </cell>
        </row>
        <row r="575">
          <cell r="A575" t="str">
            <v>Liquid HEC</v>
          </cell>
          <cell r="C575" t="str">
            <v>Suspended HEC; Viscosifiers</v>
          </cell>
        </row>
        <row r="576">
          <cell r="A576" t="str">
            <v>Liquidbeads</v>
          </cell>
          <cell r="C576" t="str">
            <v>Liquid lubricant with beads; Lubricants</v>
          </cell>
        </row>
        <row r="577">
          <cell r="A577" t="str">
            <v>Liqui-Dril</v>
          </cell>
          <cell r="C577" t="str">
            <v>ROP enhancer; Lubricants</v>
          </cell>
        </row>
        <row r="578">
          <cell r="A578" t="str">
            <v>Liquigel</v>
          </cell>
          <cell r="C578" t="str">
            <v>Liquid dispersed xanthan gum; Viscosifiers</v>
          </cell>
        </row>
        <row r="579">
          <cell r="A579" t="str">
            <v>Liquisperse</v>
          </cell>
          <cell r="C579" t="str">
            <v>Concentrated surfactant; Surface Active Agents</v>
          </cell>
        </row>
        <row r="580">
          <cell r="A580" t="str">
            <v>Liqui-Vis EP</v>
          </cell>
          <cell r="C580" t="str">
            <v>Dispersed liquid HEC; Viscosifiers</v>
          </cell>
        </row>
        <row r="581">
          <cell r="A581" t="str">
            <v>Lube-100</v>
          </cell>
          <cell r="C581" t="str">
            <v>Low toxicity lubricant; Lubricants</v>
          </cell>
        </row>
        <row r="582">
          <cell r="A582" t="str">
            <v>Lubra-Beads</v>
          </cell>
          <cell r="C582" t="str">
            <v>Divinyl benzene styrene beads; Lubricants</v>
          </cell>
        </row>
        <row r="583">
          <cell r="A583" t="str">
            <v>Lubrafiber</v>
          </cell>
          <cell r="C583" t="str">
            <v>Modified cellulose fiber; Lost Circulation Material</v>
          </cell>
        </row>
        <row r="584">
          <cell r="A584" t="str">
            <v>Lubra-Glide</v>
          </cell>
          <cell r="C584" t="str">
            <v>Divinyl benzene styrene beads; Lubricants</v>
          </cell>
        </row>
        <row r="585">
          <cell r="A585" t="str">
            <v>Lubra-Seal</v>
          </cell>
          <cell r="C585" t="str">
            <v>Modified cellulose fiber; Lost Circulation Material</v>
          </cell>
        </row>
        <row r="586">
          <cell r="A586" t="str">
            <v>Lubra-Seal C</v>
          </cell>
          <cell r="C586" t="str">
            <v>Sized cellulose fiber; Lost Circulation Material</v>
          </cell>
        </row>
        <row r="587">
          <cell r="A587" t="str">
            <v>Lubra-Seal M</v>
          </cell>
          <cell r="C587" t="str">
            <v>Sized cellulose fiber; Lost Circulation Material</v>
          </cell>
        </row>
        <row r="588">
          <cell r="A588" t="str">
            <v>Magcobar</v>
          </cell>
          <cell r="C588" t="str">
            <v>Barite; Weighting Materials</v>
          </cell>
          <cell r="D588" t="str">
            <v>Complete Ba calculations</v>
          </cell>
        </row>
        <row r="589">
          <cell r="A589" t="str">
            <v>Magcogel</v>
          </cell>
          <cell r="C589" t="str">
            <v xml:space="preserve">Sodium Montmorillinite; </v>
          </cell>
        </row>
        <row r="590">
          <cell r="A590" t="str">
            <v>Magma Fiber</v>
          </cell>
          <cell r="C590" t="str">
            <v>Acid soluble spun mineral fiber; Lost Circulation Material</v>
          </cell>
        </row>
        <row r="591">
          <cell r="A591" t="str">
            <v>Magnafloc 10</v>
          </cell>
          <cell r="C591" t="str">
            <v>V. high mol wt. Anionic polyacrylamide; Flocculants</v>
          </cell>
        </row>
        <row r="592">
          <cell r="A592" t="str">
            <v>Magnafloc 24</v>
          </cell>
          <cell r="C592" t="str">
            <v>High Mol. Wt. Anioniic polyacrylamide; Flocculants</v>
          </cell>
        </row>
        <row r="593">
          <cell r="A593" t="str">
            <v>Magnafloc 351</v>
          </cell>
          <cell r="C593" t="str">
            <v>V. high mol wt. Non- ionic; Flocculants</v>
          </cell>
        </row>
        <row r="594">
          <cell r="A594" t="str">
            <v>Magnafloc 368</v>
          </cell>
          <cell r="C594" t="str">
            <v>Low mol. Wt. Cationic coagulant; Flocculants</v>
          </cell>
        </row>
        <row r="595">
          <cell r="A595" t="str">
            <v>Magnesium Oxide</v>
          </cell>
          <cell r="C595" t="str">
            <v>pH buffering agent; alkalinity pH control</v>
          </cell>
        </row>
        <row r="596">
          <cell r="A596" t="str">
            <v>Maxdril-N</v>
          </cell>
          <cell r="C596" t="str">
            <v>Mixed metal silicate system; Systems</v>
          </cell>
        </row>
        <row r="597">
          <cell r="A597" t="str">
            <v>MD</v>
          </cell>
          <cell r="C597" t="str">
            <v>Biodegradable drilling fluid detergent; Surface Active Agents</v>
          </cell>
        </row>
        <row r="598">
          <cell r="A598" t="str">
            <v>MF 30L</v>
          </cell>
          <cell r="C598" t="str">
            <v>Liquid polyacrylamide; Shale Control Inhibitors</v>
          </cell>
        </row>
        <row r="599">
          <cell r="A599" t="str">
            <v>MF BASEal</v>
          </cell>
          <cell r="C599" t="str">
            <v>Filtrate reducer additive; Filtrate Reducers</v>
          </cell>
        </row>
        <row r="600">
          <cell r="A600" t="str">
            <v>MF Basemul</v>
          </cell>
          <cell r="C600" t="str">
            <v>Surfactant; Surface Active Agents</v>
          </cell>
        </row>
        <row r="601">
          <cell r="A601" t="str">
            <v>MF Emul</v>
          </cell>
          <cell r="C601" t="str">
            <v>Primary Emulsifier; Surface Active Agents</v>
          </cell>
        </row>
        <row r="602">
          <cell r="A602" t="str">
            <v>MF Pac LV</v>
          </cell>
          <cell r="C602" t="str">
            <v>Polyanionic cellulose; Filtrate Reducers</v>
          </cell>
        </row>
        <row r="603">
          <cell r="A603" t="str">
            <v>MF Pac R</v>
          </cell>
          <cell r="C603" t="str">
            <v>Polyanionic cellulose; Filtrate Reducers</v>
          </cell>
        </row>
        <row r="604">
          <cell r="A604" t="str">
            <v>MF Rigmate</v>
          </cell>
          <cell r="C604" t="str">
            <v>Rig equipment protector; Surface Active Agents</v>
          </cell>
        </row>
        <row r="605">
          <cell r="A605" t="str">
            <v>MF Sil Floc</v>
          </cell>
          <cell r="C605" t="str">
            <v>Low mol. wt. cationic; Flocculants</v>
          </cell>
        </row>
        <row r="606">
          <cell r="A606" t="str">
            <v>MF Silglide</v>
          </cell>
          <cell r="C606" t="str">
            <v>Lubricants</v>
          </cell>
        </row>
        <row r="607">
          <cell r="A607" t="str">
            <v>MF Silsoap</v>
          </cell>
          <cell r="C607" t="str">
            <v>Rig equipment cleaner; Surface Active Agents</v>
          </cell>
        </row>
        <row r="608">
          <cell r="A608" t="str">
            <v>MF-1</v>
          </cell>
          <cell r="C608" t="str">
            <v>Selective flocculant; Flocculants</v>
          </cell>
        </row>
        <row r="609">
          <cell r="A609" t="str">
            <v>MF-Emul</v>
          </cell>
          <cell r="C609" t="str">
            <v>Primary emulsifier; emulsifier</v>
          </cell>
        </row>
        <row r="610">
          <cell r="A610" t="str">
            <v>MF-I/55</v>
          </cell>
          <cell r="C610" t="str">
            <v>Non-anionic polyacrylamide; Shale Control Inhibitors</v>
          </cell>
        </row>
        <row r="611">
          <cell r="A611" t="str">
            <v>MF-Oilwet</v>
          </cell>
          <cell r="C611" t="str">
            <v>Oil Wetting agent; emulsifier; Surface Active Agents</v>
          </cell>
        </row>
        <row r="612">
          <cell r="A612" t="str">
            <v>MF-Rigmate</v>
          </cell>
          <cell r="C612" t="str">
            <v>Rig component protector; corrosion inhibitor</v>
          </cell>
        </row>
        <row r="613">
          <cell r="A613" t="str">
            <v>MF-Vis</v>
          </cell>
          <cell r="C613" t="str">
            <v>Xanthan gum; Viscosifiers</v>
          </cell>
        </row>
        <row r="614">
          <cell r="A614" t="str">
            <v>M-I Bar</v>
          </cell>
          <cell r="C614" t="str">
            <v>Barite; Weighting Materials</v>
          </cell>
          <cell r="D614" t="str">
            <v>Complete Ba calculations</v>
          </cell>
        </row>
        <row r="615">
          <cell r="A615" t="str">
            <v>M-I Cedar Fiber</v>
          </cell>
          <cell r="C615" t="str">
            <v>Shredded cedar fiber; Lost Circulation Material</v>
          </cell>
        </row>
        <row r="616">
          <cell r="A616" t="str">
            <v>M-I Gel</v>
          </cell>
          <cell r="C616" t="str">
            <v>Wyoming bentonite; Viscosifiers</v>
          </cell>
        </row>
        <row r="617">
          <cell r="A617" t="str">
            <v>M-I Gel Supreme</v>
          </cell>
          <cell r="C617" t="str">
            <v>Untreated wyoming bentonite; Viscosifiers</v>
          </cell>
        </row>
        <row r="618">
          <cell r="A618" t="str">
            <v>M-I Lube 100</v>
          </cell>
          <cell r="C618" t="str">
            <v>General purpose lubricant; Lubricants</v>
          </cell>
          <cell r="D618" t="str">
            <v>sold in drums (55 gal / 208 L)</v>
          </cell>
        </row>
        <row r="619">
          <cell r="A619" t="str">
            <v>M-I Seal</v>
          </cell>
          <cell r="C619" t="str">
            <v>LCM for fractured or vugular formations; Lost Circulation Material</v>
          </cell>
        </row>
        <row r="620">
          <cell r="A620" t="str">
            <v>MI-Bar</v>
          </cell>
          <cell r="C620" t="str">
            <v>Barite; weighting material</v>
          </cell>
          <cell r="D620" t="str">
            <v>Complete Ba calculations</v>
          </cell>
        </row>
        <row r="621">
          <cell r="A621" t="str">
            <v>Mica</v>
          </cell>
          <cell r="C621" t="str">
            <v>Sized mica flakes; Lost Circulation Material</v>
          </cell>
        </row>
        <row r="622">
          <cell r="A622" t="str">
            <v>Micatex</v>
          </cell>
          <cell r="C622" t="str">
            <v>Mica flakes; Lost Circulation Material</v>
          </cell>
        </row>
        <row r="623">
          <cell r="A623" t="str">
            <v>Micronaire</v>
          </cell>
          <cell r="C623" t="str">
            <v>Enhanced foam/low density fluid; Systems</v>
          </cell>
        </row>
        <row r="624">
          <cell r="A624" t="str">
            <v>Mil-Bar</v>
          </cell>
          <cell r="C624" t="str">
            <v>Barite; Weighting Materials</v>
          </cell>
          <cell r="D624" t="str">
            <v>Complete Ba calculations</v>
          </cell>
        </row>
        <row r="625">
          <cell r="A625" t="str">
            <v>Mil-Carb</v>
          </cell>
          <cell r="C625" t="str">
            <v>Sized ground carbonates; Lost Circulation Material</v>
          </cell>
        </row>
        <row r="626">
          <cell r="A626" t="str">
            <v>MIL-Carb TM</v>
          </cell>
          <cell r="C626" t="str">
            <v>Sized ground carbonates; lost circulation material</v>
          </cell>
        </row>
        <row r="627">
          <cell r="A627" t="str">
            <v>Mil-Cardb Series</v>
          </cell>
          <cell r="C627" t="str">
            <v>Multiple grind size series of ground carbonate; Lost Circulation Material</v>
          </cell>
        </row>
        <row r="628">
          <cell r="A628" t="str">
            <v>Mil-Clean</v>
          </cell>
          <cell r="C628" t="str">
            <v>water soluble, biodegradable detergent/rigwash; Surface Active Agents</v>
          </cell>
        </row>
        <row r="629">
          <cell r="A629" t="str">
            <v>Milex</v>
          </cell>
          <cell r="C629" t="str">
            <v>Co-polymer; Flocculants</v>
          </cell>
        </row>
        <row r="630">
          <cell r="A630" t="str">
            <v>Mil-Free</v>
          </cell>
          <cell r="C630" t="str">
            <v>Vegetable oil based spotting fluid; Lubricants</v>
          </cell>
        </row>
        <row r="631">
          <cell r="A631" t="str">
            <v>Mil-Gard</v>
          </cell>
          <cell r="C631" t="str">
            <v>Sulphide scavenger - zinc carbonate; corrosion inhibitor</v>
          </cell>
          <cell r="D631" t="str">
            <v>Complete Zn calculations</v>
          </cell>
        </row>
        <row r="632">
          <cell r="A632" t="str">
            <v>Mil-Gard R</v>
          </cell>
          <cell r="C632" t="str">
            <v>Chelated zinc lignosulfonate; corrosion inhibitor</v>
          </cell>
          <cell r="D632" t="str">
            <v>Complete Zn calculations</v>
          </cell>
        </row>
        <row r="633">
          <cell r="A633" t="str">
            <v>Milgel</v>
          </cell>
          <cell r="C633" t="str">
            <v>Wyoming bentonite; Viscosifiers</v>
          </cell>
        </row>
        <row r="634">
          <cell r="A634" t="str">
            <v>Milgel NT</v>
          </cell>
          <cell r="C634" t="str">
            <v>Untreated wyoming bentonite; Viscosifiers</v>
          </cell>
        </row>
        <row r="635">
          <cell r="A635" t="str">
            <v>Millennium Floc</v>
          </cell>
          <cell r="C635" t="str">
            <v>Dispersible polymer flocculant; Flocculants</v>
          </cell>
        </row>
        <row r="636">
          <cell r="A636" t="str">
            <v>Mil-Lube</v>
          </cell>
          <cell r="C636" t="str">
            <v>Vegetable oil lubricant; Lubricants</v>
          </cell>
        </row>
        <row r="637">
          <cell r="A637" t="str">
            <v>Mil-Mica</v>
          </cell>
          <cell r="C637" t="str">
            <v>Non-abrasicve mica flakes; Lost Circulation Material</v>
          </cell>
        </row>
        <row r="638">
          <cell r="A638" t="str">
            <v>Mil-Pac</v>
          </cell>
          <cell r="C638" t="str">
            <v>Polyanionic cellulose; Filtrate Reducers</v>
          </cell>
        </row>
        <row r="639">
          <cell r="A639" t="str">
            <v>Mil-Pac LV</v>
          </cell>
          <cell r="C639" t="str">
            <v>Low viscosity polyanionic cellulose; Filtrate Reducers</v>
          </cell>
        </row>
        <row r="640">
          <cell r="A640" t="str">
            <v>Mil-Plug</v>
          </cell>
          <cell r="C640" t="str">
            <v>Ground nutshells; Lost Circulation Material</v>
          </cell>
        </row>
        <row r="641">
          <cell r="A641" t="str">
            <v>Mil-Seal</v>
          </cell>
          <cell r="C641" t="str">
            <v>Blended LCM available in three grind sizes; Lost Circulation Material</v>
          </cell>
        </row>
        <row r="642">
          <cell r="A642" t="str">
            <v>Mil-SOS</v>
          </cell>
          <cell r="C642" t="str">
            <v>Hydrolized polyacrylamide; Shale Control Inhibitors; Flocculants</v>
          </cell>
        </row>
        <row r="643">
          <cell r="A643" t="str">
            <v>Mil-Starch</v>
          </cell>
          <cell r="C643" t="str">
            <v>Pregeletanized starch; Filtrate Reducers</v>
          </cell>
        </row>
        <row r="644">
          <cell r="A644" t="str">
            <v>Mil-Temp</v>
          </cell>
          <cell r="C644" t="str">
            <v>Sulfonated styrene, maleic anhydride co-polymer for water based muds; Thinners, Dispersants</v>
          </cell>
        </row>
        <row r="645">
          <cell r="A645" t="str">
            <v>Mintrol</v>
          </cell>
          <cell r="C645" t="str">
            <v>Pure oil fluid loss control; Filtrate Reducers</v>
          </cell>
        </row>
        <row r="646">
          <cell r="A646" t="str">
            <v>MIX 2</v>
          </cell>
          <cell r="C646" t="str">
            <v>Blend calcium carbonate and polymers; Lost Circulation Material</v>
          </cell>
        </row>
        <row r="647">
          <cell r="A647" t="str">
            <v>Mix II</v>
          </cell>
          <cell r="C647" t="str">
            <v>Blended calcium carbonate &amp; polymers; Lost Circulation Material</v>
          </cell>
        </row>
        <row r="648">
          <cell r="A648" t="str">
            <v>M-I-X II</v>
          </cell>
          <cell r="C648" t="str">
            <v>Ground cellulose LCM &amp; plugging agent; Lost Circulation Material</v>
          </cell>
        </row>
        <row r="649">
          <cell r="A649" t="str">
            <v>Mon Pac</v>
          </cell>
          <cell r="C649" t="str">
            <v>Premium polyanionic cellulose; Filtrate Reducers</v>
          </cell>
        </row>
        <row r="650">
          <cell r="A650" t="str">
            <v>Mon Pac Ultralo</v>
          </cell>
          <cell r="C650" t="str">
            <v>Premium polyanionic cellulose; Filtrate Reducers</v>
          </cell>
        </row>
        <row r="651">
          <cell r="A651" t="str">
            <v>MRQ 2100PS</v>
          </cell>
          <cell r="C651" t="str">
            <v>Potassium Silicate based mud; Systems</v>
          </cell>
          <cell r="D651" t="str">
            <v>Complete Salt calculation; Advanced Gel Chem</v>
          </cell>
        </row>
        <row r="652">
          <cell r="A652" t="str">
            <v>MTL Bio-Clear 2000</v>
          </cell>
          <cell r="C652" t="str">
            <v>DBNPA; bactericides</v>
          </cell>
        </row>
        <row r="653">
          <cell r="A653" t="str">
            <v>MTL Foambreak</v>
          </cell>
          <cell r="C653" t="str">
            <v>Defoamer for foam systems; defoamer</v>
          </cell>
        </row>
        <row r="654">
          <cell r="A654" t="str">
            <v>MTL Power Clean 2000</v>
          </cell>
          <cell r="C654" t="str">
            <v>Alkaline/citric degreaser; Surface Active Agents</v>
          </cell>
        </row>
        <row r="655">
          <cell r="A655" t="str">
            <v>MTL Shurshale</v>
          </cell>
          <cell r="C655" t="str">
            <v>Methanamimium; Shale Control Inhibitors</v>
          </cell>
        </row>
        <row r="656">
          <cell r="A656" t="str">
            <v>MTL Ultra Prostix</v>
          </cell>
          <cell r="C656" t="str">
            <v>Soap surfactant stick; Surface Active Agents</v>
          </cell>
        </row>
        <row r="657">
          <cell r="A657" t="str">
            <v>MTL Ultrafoam</v>
          </cell>
          <cell r="C657" t="str">
            <v>Foaming agent; Foaming Agents</v>
          </cell>
        </row>
        <row r="658">
          <cell r="A658" t="str">
            <v>MTL Ultramine 681</v>
          </cell>
          <cell r="C658" t="str">
            <v>Corrosion inhibitor; corrosion inhibitor</v>
          </cell>
        </row>
        <row r="659">
          <cell r="A659" t="str">
            <v>MTL Ultrascav 5000</v>
          </cell>
          <cell r="C659" t="str">
            <v>H2S scavenger &amp; corrosion inhibitor; corrosion inhibitor</v>
          </cell>
        </row>
        <row r="660">
          <cell r="A660" t="str">
            <v>Mud Floc</v>
          </cell>
          <cell r="C660" t="str">
            <v>HMW anionic flocculant; Flocculants</v>
          </cell>
        </row>
        <row r="661">
          <cell r="A661" t="str">
            <v>Mud Floc II D</v>
          </cell>
          <cell r="C661" t="str">
            <v>Dispersible selective flocculant; Flocculants</v>
          </cell>
        </row>
        <row r="662">
          <cell r="A662" t="str">
            <v>Mud Lite</v>
          </cell>
          <cell r="C662" t="str">
            <v>Enhanced foam surfactant; Surface Active Agents</v>
          </cell>
        </row>
        <row r="663">
          <cell r="A663" t="str">
            <v>Mud-Pac</v>
          </cell>
          <cell r="C663" t="str">
            <v>Corrosion inhibitor for solids laden packer fluids; corrosion inhibitor</v>
          </cell>
        </row>
        <row r="664">
          <cell r="A664" t="str">
            <v>Mul Sperse</v>
          </cell>
          <cell r="C664" t="str">
            <v>wetting agent/emulsifier; emulsifier</v>
          </cell>
        </row>
        <row r="665">
          <cell r="A665" t="str">
            <v>Mulsperse</v>
          </cell>
          <cell r="C665" t="str">
            <v>Surfactant; Surface Active Agents</v>
          </cell>
        </row>
        <row r="666">
          <cell r="A666" t="str">
            <v>MULTI/MAXI SEAL</v>
          </cell>
          <cell r="C666" t="str">
            <v>Lost circulation material</v>
          </cell>
        </row>
        <row r="667">
          <cell r="A667" t="str">
            <v>Natural Gel</v>
          </cell>
          <cell r="C667" t="str">
            <v>Wyoming bentonite; Viscosifiers</v>
          </cell>
        </row>
        <row r="668">
          <cell r="A668" t="str">
            <v>N-Dril HT Plus</v>
          </cell>
          <cell r="C668" t="str">
            <v>Stabilized non-ionic starch; Filtrate Reducers</v>
          </cell>
        </row>
        <row r="669">
          <cell r="A669" t="str">
            <v>N-DRILL HT</v>
          </cell>
          <cell r="C669" t="str">
            <v>Filtration Control</v>
          </cell>
        </row>
        <row r="670">
          <cell r="A670" t="str">
            <v>New 100 Invert</v>
          </cell>
          <cell r="C670" t="str">
            <v>Salt-free invert; Systems</v>
          </cell>
        </row>
        <row r="671">
          <cell r="A671" t="str">
            <v>New Thin</v>
          </cell>
          <cell r="C671" t="str">
            <v>Liquid polyacrylate; Thinners, Dispersants</v>
          </cell>
        </row>
        <row r="672">
          <cell r="A672" t="str">
            <v>New-Drill</v>
          </cell>
          <cell r="C672" t="str">
            <v>Liquid PHPA; Shale Control Inhibitors</v>
          </cell>
        </row>
        <row r="673">
          <cell r="A673" t="str">
            <v>New-Drill Plus</v>
          </cell>
          <cell r="C673" t="str">
            <v>PHPA; Shale Control Inhibitors</v>
          </cell>
        </row>
        <row r="674">
          <cell r="A674" t="str">
            <v>Newfoam</v>
          </cell>
          <cell r="C674" t="str">
            <v>Surfactant blend; Foaming Agents</v>
          </cell>
        </row>
        <row r="675">
          <cell r="A675" t="str">
            <v>Newfoam Breaker</v>
          </cell>
          <cell r="C675" t="str">
            <v>Defoamer for foam systems; defoamer</v>
          </cell>
        </row>
        <row r="676">
          <cell r="A676" t="str">
            <v>Newgel</v>
          </cell>
          <cell r="C676" t="str">
            <v>Wyoming bentonite; Viscosifiers</v>
          </cell>
        </row>
        <row r="677">
          <cell r="A677" t="str">
            <v>Newlig</v>
          </cell>
          <cell r="C677" t="str">
            <v>Lignite; Thinners, Dispersants</v>
          </cell>
        </row>
        <row r="678">
          <cell r="A678" t="str">
            <v>Newphpa LV</v>
          </cell>
          <cell r="C678" t="str">
            <v>LMW  dispersible PHPA; Shale Control Inhibitors</v>
          </cell>
        </row>
        <row r="679">
          <cell r="A679" t="str">
            <v>New-Trol</v>
          </cell>
          <cell r="C679" t="str">
            <v>Sodium Polyacrylate; Filtrate Reducers</v>
          </cell>
        </row>
        <row r="680">
          <cell r="A680" t="str">
            <v>New-Vis</v>
          </cell>
          <cell r="C680" t="str">
            <v>Organic polymer blend; Viscosifiers</v>
          </cell>
        </row>
        <row r="681">
          <cell r="A681" t="str">
            <v>Newxan</v>
          </cell>
          <cell r="C681" t="str">
            <v>Xanthan gum; Viscosifiers</v>
          </cell>
        </row>
        <row r="682">
          <cell r="A682" t="str">
            <v>N-Flow A</v>
          </cell>
          <cell r="C682" t="str">
            <v>In-situ acid breaker system; Polymer Breakers</v>
          </cell>
        </row>
        <row r="683">
          <cell r="A683" t="str">
            <v>N-Flow AE</v>
          </cell>
          <cell r="C683" t="str">
            <v>In-situ acid/enzymatic breaker system; Polymer Breakers</v>
          </cell>
        </row>
        <row r="684">
          <cell r="A684" t="str">
            <v>N-Flow AO</v>
          </cell>
          <cell r="C684" t="str">
            <v>In-situ acid/oxidizing  breaker system; Polymer Breakers</v>
          </cell>
        </row>
        <row r="685">
          <cell r="A685" t="str">
            <v>No-Stik</v>
          </cell>
          <cell r="C685" t="str">
            <v>Blend surface agents; Surface Active Agents</v>
          </cell>
        </row>
        <row r="686">
          <cell r="A686" t="str">
            <v>Novamod</v>
          </cell>
          <cell r="C686" t="str">
            <v>Rheology modifier; Viscosifiers</v>
          </cell>
        </row>
        <row r="687">
          <cell r="A687" t="str">
            <v>Novamul</v>
          </cell>
          <cell r="C687" t="str">
            <v>Primary emulsifier for synthetic inverts; emulsifier</v>
          </cell>
        </row>
        <row r="688">
          <cell r="A688" t="str">
            <v>Novaplus</v>
          </cell>
          <cell r="C688" t="str">
            <v>Low-viscosity IO synthetic based mud; Systems</v>
          </cell>
        </row>
        <row r="689">
          <cell r="A689" t="str">
            <v>Novapro</v>
          </cell>
          <cell r="C689" t="str">
            <v>Olefin-base synthetic mud; Systems</v>
          </cell>
        </row>
        <row r="690">
          <cell r="A690" t="str">
            <v>Novatec</v>
          </cell>
          <cell r="C690" t="str">
            <v>LAO base synthetic mud; Systems</v>
          </cell>
        </row>
        <row r="691">
          <cell r="A691" t="str">
            <v>Novatec B</v>
          </cell>
          <cell r="C691" t="str">
            <v>LAO base fluid; Drill Mud Base Fluids</v>
          </cell>
        </row>
        <row r="692">
          <cell r="A692" t="str">
            <v>Novatec M</v>
          </cell>
          <cell r="C692" t="str">
            <v>Low-end rheology modifier; Viscosifiers</v>
          </cell>
        </row>
        <row r="693">
          <cell r="A693" t="str">
            <v>Novatec P</v>
          </cell>
          <cell r="C693" t="str">
            <v>Primary emulsifier for Novatec system; emulsifier</v>
          </cell>
        </row>
        <row r="694">
          <cell r="A694" t="str">
            <v>Novathin</v>
          </cell>
          <cell r="C694" t="str">
            <v>Thinner for synthetic invert emulsions; Thinners, Dispersants</v>
          </cell>
        </row>
        <row r="695">
          <cell r="A695" t="str">
            <v>Novawet</v>
          </cell>
          <cell r="C695" t="str">
            <v>Wetting agent; Surface Active Agents</v>
          </cell>
        </row>
        <row r="696">
          <cell r="A696" t="str">
            <v>N-Plex</v>
          </cell>
          <cell r="C696" t="str">
            <v>Liquid alkaline salt; Lost Circulation Material</v>
          </cell>
          <cell r="D696" t="str">
            <v>Potential salt concern</v>
          </cell>
        </row>
        <row r="697">
          <cell r="A697" t="str">
            <v>N-Seal</v>
          </cell>
          <cell r="C697" t="str">
            <v>Specially formulated extrusion material; Lost Circulation Material</v>
          </cell>
        </row>
        <row r="698">
          <cell r="A698" t="str">
            <v>N-Squeeze</v>
          </cell>
          <cell r="C698" t="str">
            <v>Sized cellulose fibers in a non-damaging polymer base; Lost Circulation Material</v>
          </cell>
        </row>
        <row r="699">
          <cell r="A699" t="str">
            <v>Nut Plug</v>
          </cell>
          <cell r="C699" t="str">
            <v>Ground nutshells; Lost Circulation Material</v>
          </cell>
        </row>
        <row r="700">
          <cell r="A700" t="str">
            <v>Nut Shell</v>
          </cell>
          <cell r="C700" t="str">
            <v>Ground nutshells; Lost Circulation Material</v>
          </cell>
        </row>
        <row r="701">
          <cell r="A701" t="str">
            <v>N-Vis P Plus</v>
          </cell>
          <cell r="C701" t="str">
            <v>Xanthan/non-ionic starch ehter blend; Viscosifiers</v>
          </cell>
        </row>
        <row r="702">
          <cell r="A702" t="str">
            <v>O S S Pill</v>
          </cell>
          <cell r="C702" t="str">
            <v>Oil soluble resin polymer system; Lost Circulation Material</v>
          </cell>
        </row>
        <row r="703">
          <cell r="A703" t="str">
            <v>Oilfaze</v>
          </cell>
          <cell r="C703" t="str">
            <v>sacked oil base concentrate; emulsifier</v>
          </cell>
          <cell r="D703" t="str">
            <v>Hydrocarbons</v>
          </cell>
        </row>
        <row r="704">
          <cell r="A704" t="str">
            <v>Oilgel-3000</v>
          </cell>
          <cell r="C704" t="str">
            <v>Modified organophilic clay; Viscosifiers</v>
          </cell>
        </row>
        <row r="705">
          <cell r="A705" t="str">
            <v>Oilsperse</v>
          </cell>
          <cell r="C705" t="str">
            <v>Organic emulsifier; emulsifier</v>
          </cell>
        </row>
        <row r="706">
          <cell r="A706" t="str">
            <v>OMC</v>
          </cell>
          <cell r="C706" t="str">
            <v>Degelant for organophilic clays; Thinners, Dispersants</v>
          </cell>
        </row>
        <row r="707">
          <cell r="A707" t="str">
            <v>Omni-Plex</v>
          </cell>
          <cell r="C707" t="str">
            <v>High performance,anionic,synthetic OBM viscosifier; Viscosifiers</v>
          </cell>
        </row>
        <row r="708">
          <cell r="A708" t="str">
            <v>OMV-100</v>
          </cell>
          <cell r="C708" t="str">
            <v>Organophilic clay; Viscosifiers</v>
          </cell>
        </row>
        <row r="709">
          <cell r="A709" t="str">
            <v>Optimul</v>
          </cell>
          <cell r="C709" t="str">
            <v>Primary emulsifier; emulsifier</v>
          </cell>
        </row>
        <row r="710">
          <cell r="A710" t="str">
            <v>Optiplus</v>
          </cell>
          <cell r="C710" t="str">
            <v>Secondary emulsifier; emulsifier</v>
          </cell>
        </row>
        <row r="711">
          <cell r="A711" t="str">
            <v>Optiwet</v>
          </cell>
          <cell r="C711" t="str">
            <v>Oil mud wetting agent; emulsifier</v>
          </cell>
        </row>
        <row r="712">
          <cell r="A712" t="str">
            <v>Organolig</v>
          </cell>
          <cell r="C712" t="str">
            <v>Organophillic lignite for OB and Synthetic Muds; Filtrate Reducers</v>
          </cell>
        </row>
        <row r="713">
          <cell r="A713" t="str">
            <v>OSR Defoamer</v>
          </cell>
          <cell r="C713" t="str">
            <v>Oil Ssoluble resin strong defoamer; defoamer</v>
          </cell>
        </row>
        <row r="714">
          <cell r="A714" t="str">
            <v>Oxygen Scavenger (OS-IL)</v>
          </cell>
          <cell r="C714" t="str">
            <v>Catalyzed ammonium bisulfate; corrosion inhibitor</v>
          </cell>
        </row>
        <row r="715">
          <cell r="A715" t="str">
            <v>Pac-L</v>
          </cell>
          <cell r="C715" t="str">
            <v>Polyanionic cellulose; Filtrate Reducers</v>
          </cell>
        </row>
        <row r="716">
          <cell r="A716" t="str">
            <v>Pac-R</v>
          </cell>
          <cell r="C716" t="str">
            <v>Polyanionic cellulose; Filtrate Reducers</v>
          </cell>
        </row>
        <row r="717">
          <cell r="A717" t="str">
            <v>Palcotan</v>
          </cell>
          <cell r="C717" t="str">
            <v>Thinner</v>
          </cell>
        </row>
        <row r="718">
          <cell r="A718" t="str">
            <v>Paramul</v>
          </cell>
          <cell r="C718" t="str">
            <v>Emulsifier for Paraland system; emulsifier</v>
          </cell>
        </row>
        <row r="719">
          <cell r="A719" t="str">
            <v>Parawet</v>
          </cell>
          <cell r="C719" t="str">
            <v>Emulsifier for Paraland system; emulsifier</v>
          </cell>
        </row>
        <row r="720">
          <cell r="A720" t="str">
            <v>Peltex</v>
          </cell>
          <cell r="C720" t="str">
            <v>Ferrochrome lignosulfonate; Thinners, Dispersants</v>
          </cell>
          <cell r="D720" t="str">
            <v>Complete Cr calculations</v>
          </cell>
        </row>
        <row r="721">
          <cell r="A721" t="str">
            <v>Pelthinz</v>
          </cell>
          <cell r="C721" t="str">
            <v>Chrome lignosulfonate; Thinners, Dispersants</v>
          </cell>
          <cell r="D721" t="str">
            <v>Complete Cr calculations</v>
          </cell>
        </row>
        <row r="722">
          <cell r="A722" t="str">
            <v>Pelthinz CF</v>
          </cell>
          <cell r="C722" t="str">
            <v>Chrome-free lignosulfonate; Thinners, Dispersants</v>
          </cell>
          <cell r="D722" t="str">
            <v>Cr free, do not complete Cr calculation</v>
          </cell>
        </row>
        <row r="723">
          <cell r="A723" t="str">
            <v>Penetrex</v>
          </cell>
          <cell r="C723" t="str">
            <v>ROP enhancer; Lubricants</v>
          </cell>
        </row>
        <row r="724">
          <cell r="A724" t="str">
            <v>PERCOL</v>
          </cell>
          <cell r="C724" t="str">
            <v>Quaternary acrylate salt; cationic polymer</v>
          </cell>
        </row>
        <row r="725">
          <cell r="A725" t="str">
            <v>Percol 919</v>
          </cell>
          <cell r="C725" t="str">
            <v>Anionic Polyacrylamide(PHPA); Flocculants</v>
          </cell>
        </row>
        <row r="726">
          <cell r="A726" t="str">
            <v>Performadril</v>
          </cell>
          <cell r="C726" t="str">
            <v>Highly inhibitive clay-free WBM; Systems</v>
          </cell>
        </row>
        <row r="727">
          <cell r="A727" t="str">
            <v>Performax</v>
          </cell>
          <cell r="C727" t="str">
            <v>High performance inhibitive WBM; Systems</v>
          </cell>
        </row>
        <row r="728">
          <cell r="A728" t="str">
            <v>Perma-Lose HT</v>
          </cell>
          <cell r="C728" t="str">
            <v>Non-fermenting polymerized starch; Filtrate Reducers</v>
          </cell>
        </row>
        <row r="729">
          <cell r="A729" t="str">
            <v>Perma-thinz</v>
          </cell>
          <cell r="C729" t="str">
            <v>Chrome-free lignosulfonate; Thinners, Dispersants</v>
          </cell>
          <cell r="D729" t="str">
            <v>Cr free, do not complete Cr calculation</v>
          </cell>
        </row>
        <row r="730">
          <cell r="A730" t="str">
            <v>PETRO-LIG</v>
          </cell>
          <cell r="C730" t="str">
            <v>Filtrate control additive for invert emulsions; Fluid Base Oil</v>
          </cell>
          <cell r="D730" t="str">
            <v>Hydrocarbons</v>
          </cell>
        </row>
        <row r="731">
          <cell r="A731" t="str">
            <v>PH-10</v>
          </cell>
          <cell r="C731" t="str">
            <v>Buffer system magnesium oxide; alkalinity pH control</v>
          </cell>
        </row>
        <row r="732">
          <cell r="A732" t="str">
            <v>Phenoseal</v>
          </cell>
          <cell r="C732" t="str">
            <v>Thermoset Laminate; Lost Circulation Material</v>
          </cell>
        </row>
        <row r="733">
          <cell r="A733" t="str">
            <v>Pine Seal</v>
          </cell>
          <cell r="C733" t="str">
            <v>Fibrous flake and granular LCM; Lost Circulation Material</v>
          </cell>
        </row>
        <row r="734">
          <cell r="A734" t="str">
            <v>Pipe Free Agent</v>
          </cell>
          <cell r="C734" t="str">
            <v>Spotting agent; Lubricants; Lost Circulation Material</v>
          </cell>
        </row>
        <row r="735">
          <cell r="A735" t="str">
            <v>Pipe Lax</v>
          </cell>
          <cell r="C735" t="str">
            <v>Stuck pipe surfactant; Surface Active Agents</v>
          </cell>
          <cell r="D735" t="str">
            <v>hydrocarbon based, used in diesel or oil based muds</v>
          </cell>
        </row>
        <row r="736">
          <cell r="A736" t="str">
            <v>Pipe Out</v>
          </cell>
          <cell r="C736" t="str">
            <v>Spotting agent; Surface Active Agents</v>
          </cell>
        </row>
        <row r="737">
          <cell r="A737" t="str">
            <v>Pipelax W</v>
          </cell>
          <cell r="C737" t="str">
            <v>Anionic surface active agent; Lubricants</v>
          </cell>
        </row>
        <row r="738">
          <cell r="A738" t="str">
            <v>Plaster</v>
          </cell>
          <cell r="C738" t="str">
            <v xml:space="preserve">Starch system (1957) Gypsum/Calcium Source; </v>
          </cell>
          <cell r="D738" t="str">
            <v>Complete Salt calculations</v>
          </cell>
        </row>
        <row r="739">
          <cell r="A739" t="str">
            <v>Plug-Git</v>
          </cell>
          <cell r="C739" t="str">
            <v>Processed cedar fiber; Lost Circulation Material</v>
          </cell>
        </row>
        <row r="740">
          <cell r="A740" t="str">
            <v>Plugsal</v>
          </cell>
          <cell r="C740" t="str">
            <v>Sized salt water-soluble bridging; Lost Circulation Material</v>
          </cell>
        </row>
        <row r="741">
          <cell r="A741" t="str">
            <v>Plus-5</v>
          </cell>
          <cell r="C741" t="str">
            <v>Hematite - iron oxide; Weighting Materials</v>
          </cell>
        </row>
        <row r="742">
          <cell r="A742" t="str">
            <v>Polidril</v>
          </cell>
          <cell r="C742" t="str">
            <v>Polymer blend; Viscosifiers</v>
          </cell>
        </row>
        <row r="743">
          <cell r="A743" t="str">
            <v>Poliheal</v>
          </cell>
          <cell r="C743" t="str">
            <v>Polymer blend; Filtrate Reducers</v>
          </cell>
        </row>
        <row r="744">
          <cell r="A744" t="str">
            <v>Poly block</v>
          </cell>
          <cell r="C744" t="str">
            <v>Blended LCM for vugular &amp; cavernous formations; Lost Circulation Material</v>
          </cell>
        </row>
        <row r="745">
          <cell r="A745" t="str">
            <v>Poly Flake</v>
          </cell>
          <cell r="C745" t="str">
            <v>Polyethylene/polycellulose flakes; Lost Circulation Material</v>
          </cell>
        </row>
        <row r="746">
          <cell r="A746" t="str">
            <v>Poly Plastic</v>
          </cell>
          <cell r="C746" t="str">
            <v>Proprietary liquid blend of sodium polyacrylate, lignosulfonate, lignite; Bentonite extender</v>
          </cell>
        </row>
        <row r="747">
          <cell r="A747" t="str">
            <v>Poly Plug Clear Gel</v>
          </cell>
          <cell r="C747" t="str">
            <v>Blended lost circulation plug; Lost Circulation Material</v>
          </cell>
        </row>
        <row r="748">
          <cell r="A748" t="str">
            <v>Poly Seal</v>
          </cell>
          <cell r="C748" t="str">
            <v>Polyethylene/polycellulose flakes; Lost Circulation Material</v>
          </cell>
        </row>
        <row r="749">
          <cell r="A749" t="str">
            <v>Polyac</v>
          </cell>
          <cell r="C749" t="str">
            <v>Broad range filtrate reducer; Filtrate Reducers</v>
          </cell>
        </row>
        <row r="750">
          <cell r="A750" t="str">
            <v>Polydrill</v>
          </cell>
          <cell r="C750" t="str">
            <v>100% synthetic fluidloss additive; Filtrate Reducers</v>
          </cell>
        </row>
        <row r="751">
          <cell r="A751" t="str">
            <v>Polyloss</v>
          </cell>
          <cell r="C751" t="str">
            <v>Derivatized starch blend; Filtrate Reducers</v>
          </cell>
        </row>
        <row r="752">
          <cell r="A752" t="str">
            <v>Polypac (reg, UL)</v>
          </cell>
          <cell r="C752" t="str">
            <v>Polyanionic cellulose; Viscosifiers</v>
          </cell>
        </row>
        <row r="753">
          <cell r="A753" t="str">
            <v>Polypac R</v>
          </cell>
          <cell r="C753" t="str">
            <v>Polyanionic cellulose; Filtrate Reducers</v>
          </cell>
        </row>
        <row r="754">
          <cell r="A754" t="str">
            <v>Polypac UL</v>
          </cell>
          <cell r="C754" t="str">
            <v>Ultra low viscosity pac; Filtrate Reducers</v>
          </cell>
        </row>
        <row r="755">
          <cell r="A755" t="str">
            <v>Polypit</v>
          </cell>
          <cell r="C755" t="str">
            <v>Flocculants</v>
          </cell>
        </row>
        <row r="756">
          <cell r="A756" t="str">
            <v>Polyplus</v>
          </cell>
          <cell r="C756" t="str">
            <v>HMW anionic polyacrylamide; Flocculants</v>
          </cell>
        </row>
        <row r="757">
          <cell r="A757" t="str">
            <v>Polyplus RD</v>
          </cell>
          <cell r="C757" t="str">
            <v>Hydrolized polyacrylamide; Shale Control Inhibitors</v>
          </cell>
        </row>
        <row r="758">
          <cell r="A758" t="str">
            <v>Polysec</v>
          </cell>
          <cell r="C758" t="str">
            <v>Sodium polyacrylate; bentonite extender</v>
          </cell>
        </row>
        <row r="759">
          <cell r="A759" t="str">
            <v>Polysec KD</v>
          </cell>
          <cell r="C759" t="str">
            <v>Sodium Polyacrylate; Bentonite extender</v>
          </cell>
        </row>
        <row r="760">
          <cell r="A760" t="str">
            <v>Polystar</v>
          </cell>
          <cell r="C760" t="str">
            <v>Anti-accretion system designed for SAGD; Systems</v>
          </cell>
        </row>
        <row r="761">
          <cell r="A761" t="str">
            <v>Polyswell</v>
          </cell>
          <cell r="C761" t="str">
            <v>Anioic acrylamide copolymer</v>
          </cell>
        </row>
        <row r="762">
          <cell r="A762" t="str">
            <v>Polytex</v>
          </cell>
          <cell r="C762" t="str">
            <v>Polymer, sized carbonates; Filtrate Reducers</v>
          </cell>
        </row>
        <row r="763">
          <cell r="A763" t="str">
            <v>Polythin</v>
          </cell>
          <cell r="C763" t="str">
            <v>Powder thinner (extreme conditions); Thinners, Dispersants</v>
          </cell>
        </row>
        <row r="764">
          <cell r="A764" t="str">
            <v>Poly-Vis II</v>
          </cell>
          <cell r="C764" t="str">
            <v>Mixed metal hydroxide; Viscosifiers</v>
          </cell>
        </row>
        <row r="765">
          <cell r="A765" t="str">
            <v>Poly-Xan</v>
          </cell>
          <cell r="C765" t="str">
            <v>Dispersible grade xanthan+B727 gum; Viscosifiers</v>
          </cell>
        </row>
        <row r="766">
          <cell r="A766" t="str">
            <v>Potash</v>
          </cell>
          <cell r="C766" t="str">
            <v>Potassium chloride (KCL); Shale Control Inhibitors</v>
          </cell>
          <cell r="D766" t="str">
            <v>Complete Salt calculations</v>
          </cell>
        </row>
        <row r="767">
          <cell r="A767" t="str">
            <v>Potassium Carbonate</v>
          </cell>
          <cell r="C767" t="str">
            <v>Potassium source in inhibitive potassium muds</v>
          </cell>
          <cell r="D767" t="str">
            <v>Potential salt concern</v>
          </cell>
        </row>
        <row r="768">
          <cell r="A768" t="str">
            <v>Potassium Chloride</v>
          </cell>
          <cell r="C768" t="str">
            <v>Shale stabilizing</v>
          </cell>
          <cell r="D768" t="str">
            <v>Complete Salt calculations</v>
          </cell>
        </row>
        <row r="769">
          <cell r="A769" t="str">
            <v>Potassium Formate</v>
          </cell>
          <cell r="C769" t="str">
            <v>KCOOH; Shale Control Inhibitors</v>
          </cell>
          <cell r="D769" t="str">
            <v>Complete Salt calculations; Advanced Gel Chem</v>
          </cell>
        </row>
        <row r="770">
          <cell r="A770" t="str">
            <v>Potassium Soltex</v>
          </cell>
          <cell r="C770" t="str">
            <v>Potassium sulfonated ashphalt; Shale Control Inhibitors</v>
          </cell>
          <cell r="D770" t="str">
            <v>Potential salt concern; Advanced Gel Chem</v>
          </cell>
        </row>
        <row r="771">
          <cell r="A771" t="str">
            <v>Potassium Sulphate</v>
          </cell>
          <cell r="C771" t="str">
            <v>K2SO4; Shale Control Inhibitors</v>
          </cell>
          <cell r="D771" t="str">
            <v>Complete Salt calculations; Advanced Gel Chem</v>
          </cell>
        </row>
        <row r="772">
          <cell r="A772" t="str">
            <v>Potassium Hydroxide</v>
          </cell>
          <cell r="C772" t="str">
            <v>Shale control Inhibitor</v>
          </cell>
          <cell r="D772" t="str">
            <v>Complete Salt calculations</v>
          </cell>
        </row>
        <row r="773">
          <cell r="A773" t="str">
            <v>Potassium Silicate</v>
          </cell>
          <cell r="C773" t="str">
            <v>K2SiO3, MRQ 2100PS, QM-12, Sildril, Ecodrill 317, Ecodrill 246, FilDril K</v>
          </cell>
          <cell r="D773" t="str">
            <v>Complete Salt calculations; Advanced Gel Chem</v>
          </cell>
        </row>
        <row r="774">
          <cell r="A774" t="str">
            <v>Potassium Nitrate</v>
          </cell>
          <cell r="C774" t="str">
            <v>K2SO4, Sulphate of Potash</v>
          </cell>
          <cell r="D774" t="str">
            <v>Complete Salt calculations; Advanced Gel Chem</v>
          </cell>
        </row>
        <row r="775">
          <cell r="A775" t="str">
            <v>Powerdrill</v>
          </cell>
          <cell r="C775" t="str">
            <v>Inhibitive WBM; Systems</v>
          </cell>
        </row>
        <row r="776">
          <cell r="A776" t="str">
            <v>Preservative</v>
          </cell>
          <cell r="C776" t="str">
            <v xml:space="preserve">Starch system (1957); </v>
          </cell>
        </row>
        <row r="777">
          <cell r="A777" t="str">
            <v>Prima Seal C/M</v>
          </cell>
          <cell r="C777" t="str">
            <v>Blended LCM; Lost Circulation Material</v>
          </cell>
        </row>
        <row r="778">
          <cell r="A778" t="str">
            <v>Primary Emulsifier</v>
          </cell>
          <cell r="C778" t="str">
            <v>Oil mud primary emulsifier; emulsifier</v>
          </cell>
          <cell r="D778" t="str">
            <v>Hydrocarbons</v>
          </cell>
        </row>
        <row r="779">
          <cell r="A779" t="str">
            <v>Primaseal</v>
          </cell>
          <cell r="C779" t="str">
            <v>Blended LCM; lost circulation material</v>
          </cell>
        </row>
        <row r="780">
          <cell r="A780" t="str">
            <v>Prodrill 2000</v>
          </cell>
          <cell r="C780" t="str">
            <v>Anionic Polyacrylamide and distillates; shale control Inhibitor</v>
          </cell>
          <cell r="D780" t="str">
            <v>Toxic, PSAC Concentration = 15 L/cu.m; assume 9L pail</v>
          </cell>
        </row>
        <row r="781">
          <cell r="A781" t="str">
            <v>Prodrill 2100 LV</v>
          </cell>
          <cell r="C781" t="str">
            <v>Anionic Polyacrylamide and distillates; Shale control inhibitor</v>
          </cell>
        </row>
        <row r="782">
          <cell r="A782" t="str">
            <v>Prodrill 2100 P</v>
          </cell>
          <cell r="C782" t="str">
            <v>Anionic Polyacrylamide and distillates; Shale control inhibitor</v>
          </cell>
        </row>
        <row r="783">
          <cell r="A783" t="str">
            <v>Proex</v>
          </cell>
          <cell r="C783" t="str">
            <v>Polyacrylate - PHPA blend; Bentonite extender</v>
          </cell>
        </row>
        <row r="784">
          <cell r="A784" t="str">
            <v>Pro-Film</v>
          </cell>
          <cell r="C784" t="str">
            <v>Corrosion inhibitor</v>
          </cell>
        </row>
        <row r="785">
          <cell r="A785" t="str">
            <v>Pro-Floc</v>
          </cell>
          <cell r="C785" t="str">
            <v>Polyacrylamide; Flocculants</v>
          </cell>
        </row>
        <row r="786">
          <cell r="A786" t="str">
            <v>Pro-Scale</v>
          </cell>
          <cell r="C786" t="str">
            <v>Corrosion inhibitor</v>
          </cell>
        </row>
        <row r="787">
          <cell r="A787" t="str">
            <v>Pro-Scav A</v>
          </cell>
          <cell r="C787" t="str">
            <v>Corrosion inhibitor</v>
          </cell>
        </row>
        <row r="788">
          <cell r="A788" t="str">
            <v>Pro-Scav S</v>
          </cell>
          <cell r="C788" t="str">
            <v>Corrosion inhibitor</v>
          </cell>
        </row>
        <row r="789">
          <cell r="A789" t="str">
            <v>Protectmagic M</v>
          </cell>
          <cell r="C789" t="str">
            <v>Water dispersible ashphalt; Shale Control Inhibitors</v>
          </cell>
        </row>
        <row r="790">
          <cell r="A790" t="str">
            <v>Protectomagic LT</v>
          </cell>
          <cell r="C790" t="str">
            <v>Diesel-base suspension of of clloidal ashphalt; Shale Control Inhibitors</v>
          </cell>
          <cell r="D790" t="str">
            <v>Hydrocarbons</v>
          </cell>
        </row>
        <row r="791">
          <cell r="A791" t="str">
            <v>PTS-100</v>
          </cell>
          <cell r="C791" t="str">
            <v>HT polymer stabilizer; Polymer Stabilizers</v>
          </cell>
        </row>
        <row r="792">
          <cell r="A792" t="str">
            <v>PTS-200</v>
          </cell>
          <cell r="C792" t="str">
            <v>HT polymer stabilizer; Polymer Stabilizers</v>
          </cell>
        </row>
        <row r="793">
          <cell r="A793" t="str">
            <v>Puredrill HT-30</v>
          </cell>
          <cell r="C793" t="str">
            <v>Enhanced mineral oil; Drill Mud Base Fluids</v>
          </cell>
        </row>
        <row r="794">
          <cell r="A794" t="str">
            <v>Puredrill HT-40</v>
          </cell>
          <cell r="C794" t="str">
            <v>Enhanced mineral oil; Drill Mud Base Fluids</v>
          </cell>
        </row>
        <row r="795">
          <cell r="A795" t="str">
            <v>Puredrill IA-35</v>
          </cell>
          <cell r="C795" t="str">
            <v>Synthetic isoalkane; Drill Mud Base Fluids</v>
          </cell>
        </row>
        <row r="796">
          <cell r="A796" t="str">
            <v>Puredrill IA-35LV</v>
          </cell>
          <cell r="C796" t="str">
            <v>Synthetic isoalkane; Drill Mud Base Fluids</v>
          </cell>
        </row>
        <row r="797">
          <cell r="A797" t="str">
            <v>Puredrill OE</v>
          </cell>
          <cell r="C797" t="str">
            <v>Synthetic ester blend; Drill Mud Base Fluids</v>
          </cell>
        </row>
        <row r="798">
          <cell r="A798" t="str">
            <v>Pyro-trol</v>
          </cell>
          <cell r="C798" t="str">
            <v>Co-polymer acrylamide AMPS; Filtrate Reducers</v>
          </cell>
        </row>
        <row r="799">
          <cell r="A799" t="str">
            <v>QB II</v>
          </cell>
          <cell r="C799" t="str">
            <v>Chrome lignosulfonate; Filtrate reducer</v>
          </cell>
          <cell r="D799" t="str">
            <v>Complete Cr calculations</v>
          </cell>
        </row>
        <row r="800">
          <cell r="A800" t="str">
            <v>Q-Broxin</v>
          </cell>
          <cell r="C800" t="str">
            <v>ferrochrome lignosulfonate, thinner</v>
          </cell>
          <cell r="D800" t="str">
            <v>Complete Cr calculations</v>
          </cell>
        </row>
        <row r="801">
          <cell r="A801" t="str">
            <v>QM-12</v>
          </cell>
          <cell r="C801" t="str">
            <v>Potassium silicate; Shale Control Inhibitors</v>
          </cell>
          <cell r="D801" t="str">
            <v>Complete Salt calculations; Advanced Gel Chem</v>
          </cell>
        </row>
        <row r="802">
          <cell r="A802" t="str">
            <v>Q'Mul I</v>
          </cell>
          <cell r="C802" t="str">
            <v>Primary emulsifier for mineral oil inverts; emulsifier</v>
          </cell>
        </row>
        <row r="803">
          <cell r="A803" t="str">
            <v>Q'Mul II</v>
          </cell>
          <cell r="C803" t="str">
            <v>Secondary emulsifier for mineral oil inverts; emulsifier</v>
          </cell>
        </row>
        <row r="804">
          <cell r="A804" t="str">
            <v>Q'Mul Primary</v>
          </cell>
          <cell r="C804" t="str">
            <v>Primary emulsifier for SBM's; emulsifier</v>
          </cell>
        </row>
        <row r="805">
          <cell r="A805" t="str">
            <v>Q'Mul Secondary</v>
          </cell>
          <cell r="C805" t="str">
            <v>Secondary emulsifier for SBM's; emulsifier</v>
          </cell>
        </row>
        <row r="806">
          <cell r="A806" t="str">
            <v>Q'Pac</v>
          </cell>
          <cell r="C806" t="str">
            <v>PAC; Filtrate Reducers</v>
          </cell>
        </row>
        <row r="807">
          <cell r="A807" t="str">
            <v>Q'Stop</v>
          </cell>
          <cell r="C807" t="str">
            <v>Sized cellulose fiber; Lost Circulation Material</v>
          </cell>
        </row>
        <row r="808">
          <cell r="A808" t="str">
            <v>Q’STOP Fine</v>
          </cell>
          <cell r="C808" t="str">
            <v>Sized cellulose fiber; Lost circulation material</v>
          </cell>
        </row>
        <row r="809">
          <cell r="A809" t="str">
            <v>Quick VIS</v>
          </cell>
          <cell r="C809" t="str">
            <v>Hydroxyethyl cellulose; Viscosifiers</v>
          </cell>
        </row>
        <row r="810">
          <cell r="A810" t="str">
            <v>Quikdril</v>
          </cell>
          <cell r="C810" t="str">
            <v>Solids free non damaging coil tubing fluid; Systems</v>
          </cell>
        </row>
        <row r="811">
          <cell r="A811" t="str">
            <v>Quik-Foam</v>
          </cell>
          <cell r="C811" t="str">
            <v>Biodegradable foaming agent; Foaming Agents</v>
          </cell>
        </row>
        <row r="812">
          <cell r="A812" t="str">
            <v>Quik-Free</v>
          </cell>
          <cell r="C812" t="str">
            <v>Spotting fluid concentrate; Lubricants</v>
          </cell>
        </row>
        <row r="813">
          <cell r="A813" t="str">
            <v>Quik-Gel</v>
          </cell>
          <cell r="C813" t="str">
            <v>High yield bentonite; Viscosifiers</v>
          </cell>
        </row>
        <row r="814">
          <cell r="A814" t="str">
            <v>Quik-Mud</v>
          </cell>
          <cell r="C814" t="str">
            <v>Suspension of concentrated viscosifiers; Viscosifiers</v>
          </cell>
        </row>
        <row r="815">
          <cell r="A815" t="str">
            <v>Quik-Thin</v>
          </cell>
          <cell r="C815" t="str">
            <v>Ferrochrome lignosulfonate; Thinners, Dispersants</v>
          </cell>
          <cell r="D815" t="str">
            <v>Complete Cr calculations</v>
          </cell>
        </row>
        <row r="816">
          <cell r="A816" t="str">
            <v>Quik-trol</v>
          </cell>
          <cell r="C816" t="str">
            <v>Organic polymer; Shale Control Inhibitors; Viscosifiers</v>
          </cell>
        </row>
        <row r="817">
          <cell r="A817" t="str">
            <v>Q'Vis L</v>
          </cell>
          <cell r="C817" t="str">
            <v>Liquid polymeric viscosifier; Viscosifiers</v>
          </cell>
        </row>
        <row r="818">
          <cell r="A818" t="str">
            <v>Q'Wet</v>
          </cell>
          <cell r="C818" t="str">
            <v>Oil wetting agent; Surface Active Agents</v>
          </cell>
        </row>
        <row r="819">
          <cell r="A819" t="str">
            <v>Qwikthin CF</v>
          </cell>
          <cell r="C819" t="str">
            <v>Modified sulfo-methylated tannin; Thinners, Dispersants</v>
          </cell>
        </row>
        <row r="820">
          <cell r="A820" t="str">
            <v>R.O.P.E.</v>
          </cell>
          <cell r="C820" t="str">
            <v>Protein lubricant; Lubricants</v>
          </cell>
        </row>
        <row r="821">
          <cell r="A821" t="str">
            <v>Radiagreen EME Salt</v>
          </cell>
          <cell r="C821" t="str">
            <v>Lubricants</v>
          </cell>
        </row>
        <row r="822">
          <cell r="A822" t="str">
            <v>Rapidrill</v>
          </cell>
          <cell r="C822" t="str">
            <v>Water-based gilsonite/lubricant system; Systems</v>
          </cell>
        </row>
        <row r="823">
          <cell r="A823" t="str">
            <v>Rebound</v>
          </cell>
          <cell r="C823" t="str">
            <v>Resilient carbon based LCM; Lost Circulation Material</v>
          </cell>
        </row>
        <row r="824">
          <cell r="A824" t="str">
            <v>Rebound Fine</v>
          </cell>
          <cell r="C824" t="str">
            <v>Resilient carbon based LCM; Lost Circulation Material</v>
          </cell>
        </row>
        <row r="825">
          <cell r="A825" t="str">
            <v>Reef Floc</v>
          </cell>
          <cell r="C825" t="str">
            <v>Poylacrylamide polymer; Flocculants</v>
          </cell>
          <cell r="D825" t="str">
            <v>when used, most likely used KCl as shale inhibitor</v>
          </cell>
        </row>
        <row r="826">
          <cell r="A826" t="str">
            <v>Reef Gel</v>
          </cell>
          <cell r="C826" t="str">
            <v>Bentonite (clay); viscosifier</v>
          </cell>
        </row>
        <row r="827">
          <cell r="A827" t="str">
            <v>Reef Pac</v>
          </cell>
          <cell r="C827" t="str">
            <v>Polyanionic Cellulose; Filtration and Fluid loss control</v>
          </cell>
        </row>
        <row r="828">
          <cell r="A828" t="str">
            <v>Reef Polymer Plus</v>
          </cell>
          <cell r="C828" t="str">
            <v>Copolymer of sodium acrylate &amp; acrylamide; Flocculants</v>
          </cell>
        </row>
        <row r="829">
          <cell r="A829" t="str">
            <v>REEFEX</v>
          </cell>
          <cell r="C829" t="str">
            <v>Bentonite extender; viscosifier</v>
          </cell>
        </row>
        <row r="830">
          <cell r="A830" t="str">
            <v>Resinex</v>
          </cell>
          <cell r="C830" t="str">
            <v>Resinated lignin; Filtrate Reducers</v>
          </cell>
        </row>
        <row r="831">
          <cell r="A831" t="str">
            <v>Resinex II</v>
          </cell>
          <cell r="C831" t="str">
            <v>Tech grade resinated lignin; Filtrate Reducers</v>
          </cell>
        </row>
        <row r="832">
          <cell r="A832" t="str">
            <v>Rhemod L</v>
          </cell>
          <cell r="C832" t="str">
            <v>Modified fatty acid; Viscosifiers</v>
          </cell>
        </row>
        <row r="833">
          <cell r="A833" t="str">
            <v>Rheoflo</v>
          </cell>
          <cell r="C833" t="str">
            <v>Blended polymer; Viscosifiers</v>
          </cell>
        </row>
        <row r="834">
          <cell r="A834" t="str">
            <v>RHODOPOL</v>
          </cell>
          <cell r="C834" t="str">
            <v>Polysaccharide polymer; viscosifier</v>
          </cell>
        </row>
        <row r="835">
          <cell r="A835" t="str">
            <v>Rhodopol 23 P</v>
          </cell>
          <cell r="C835" t="str">
            <v>Polysaccharide polymer; Viscosifiers</v>
          </cell>
        </row>
        <row r="836">
          <cell r="A836" t="str">
            <v>Rhodopol XGD</v>
          </cell>
          <cell r="C836" t="str">
            <v>Polysaccharide polymer; Viscosifiers</v>
          </cell>
        </row>
        <row r="837">
          <cell r="A837" t="str">
            <v>RM 63</v>
          </cell>
          <cell r="C837" t="str">
            <v>Blend of fatty acids; Viscosifiers</v>
          </cell>
        </row>
        <row r="838">
          <cell r="A838" t="str">
            <v>RM63</v>
          </cell>
          <cell r="C838" t="str">
            <v>Rheology modifier</v>
          </cell>
        </row>
        <row r="839">
          <cell r="A839" t="str">
            <v>Rubber Crumb</v>
          </cell>
          <cell r="C839" t="str">
            <v>Ground Rubber; Lost Circulation Material</v>
          </cell>
        </row>
        <row r="840">
          <cell r="A840" t="str">
            <v>Safe Solv OM</v>
          </cell>
          <cell r="C840" t="str">
            <v>Blend of surfactants and solvents; Surface Active Agents</v>
          </cell>
        </row>
        <row r="841">
          <cell r="A841" t="str">
            <v>Safe Surfo</v>
          </cell>
          <cell r="C841" t="str">
            <v>Blend of solvents and surfactants; Surface Active Agents</v>
          </cell>
        </row>
        <row r="842">
          <cell r="A842" t="str">
            <v>Safe-Carb</v>
          </cell>
          <cell r="C842" t="str">
            <v>Sized calcium carbonate; Weighting Materials</v>
          </cell>
        </row>
        <row r="843">
          <cell r="A843" t="str">
            <v>Safe-T-Coat</v>
          </cell>
          <cell r="C843" t="str">
            <v>Amine inhibitor; corrosion inhibitor</v>
          </cell>
        </row>
        <row r="844">
          <cell r="A844" t="str">
            <v>Saf-Kote</v>
          </cell>
          <cell r="C844" t="str">
            <v>Amine type inhibitor; corrosion inhibitor</v>
          </cell>
        </row>
        <row r="845">
          <cell r="A845" t="str">
            <v>Salt</v>
          </cell>
          <cell r="C845" t="str">
            <v>NaCl; Weighting Materials</v>
          </cell>
          <cell r="D845" t="str">
            <v>Complete Salt calculations</v>
          </cell>
        </row>
        <row r="846">
          <cell r="A846" t="str">
            <v>Salt Gel</v>
          </cell>
          <cell r="C846" t="str">
            <v>Processed sepiolite; Viscosifiers</v>
          </cell>
        </row>
        <row r="847">
          <cell r="A847" t="str">
            <v>Salt Water Gel</v>
          </cell>
          <cell r="C847" t="str">
            <v>Attapulgite; Viscosifiers</v>
          </cell>
        </row>
        <row r="848">
          <cell r="A848" t="str">
            <v>Sanheal Pill</v>
          </cell>
          <cell r="C848" t="str">
            <v>Calcium carbonate polymer system; Lost Circulation Material</v>
          </cell>
        </row>
        <row r="849">
          <cell r="A849" t="str">
            <v>SAPP</v>
          </cell>
          <cell r="C849" t="str">
            <v>Sodium acid pyrophosphate; Thinners, Dispersants</v>
          </cell>
          <cell r="D849" t="str">
            <v>Complete Salt calculations</v>
          </cell>
        </row>
        <row r="850">
          <cell r="A850" t="str">
            <v>Sawdust</v>
          </cell>
          <cell r="C850" t="str">
            <v>Sawdust; Lost Circulation Material</v>
          </cell>
        </row>
        <row r="851">
          <cell r="A851" t="str">
            <v>SCW0535</v>
          </cell>
          <cell r="C851" t="str">
            <v>Liquid scale prevention; corrosion inhibitor</v>
          </cell>
        </row>
        <row r="852">
          <cell r="A852" t="str">
            <v>Seal-N-Peel</v>
          </cell>
          <cell r="C852" t="str">
            <v>Fluid loss control pill; Systems</v>
          </cell>
        </row>
        <row r="853">
          <cell r="A853" t="str">
            <v>Secondary Emulsifier</v>
          </cell>
          <cell r="C853" t="str">
            <v>Oil mud secondary emulsifier; emulsifier</v>
          </cell>
          <cell r="D853" t="str">
            <v>Hydrocarbons</v>
          </cell>
        </row>
        <row r="854">
          <cell r="A854" t="str">
            <v>Seperan</v>
          </cell>
          <cell r="C854" t="str">
            <v>Polyacrylamide (Gel-Chem mud system); Flocculants</v>
          </cell>
        </row>
        <row r="855">
          <cell r="A855" t="str">
            <v>Ser-Vis</v>
          </cell>
          <cell r="C855" t="str">
            <v>Liquid polymeric viscosifier; Viscosifiers</v>
          </cell>
        </row>
        <row r="856">
          <cell r="A856" t="str">
            <v>Shale Bond</v>
          </cell>
          <cell r="C856" t="str">
            <v>Water dispersible uintaite-gilsonite; Shale Control Inhibitors</v>
          </cell>
        </row>
        <row r="857">
          <cell r="A857" t="str">
            <v>Shaledril</v>
          </cell>
          <cell r="C857" t="str">
            <v>Water-based system specifically for shale gas zone; inhibiting fluid</v>
          </cell>
        </row>
        <row r="858">
          <cell r="A858" t="str">
            <v>Sheardril-N</v>
          </cell>
          <cell r="C858" t="str">
            <v>Solids free modified polymer fluid system; Systems</v>
          </cell>
        </row>
        <row r="859">
          <cell r="A859" t="str">
            <v>Sildril</v>
          </cell>
          <cell r="C859" t="str">
            <v>Potassium silicate inhibitive drilling fluid; Systems</v>
          </cell>
          <cell r="D859" t="str">
            <v>Complete Salt calculations; Advanced Gel Chem</v>
          </cell>
        </row>
        <row r="860">
          <cell r="A860" t="str">
            <v>Simple Seal</v>
          </cell>
          <cell r="C860" t="str">
            <v>Calcium carbonate polymer system; Lost Circulation Material</v>
          </cell>
        </row>
        <row r="861">
          <cell r="A861" t="str">
            <v>Slugheal</v>
          </cell>
          <cell r="C861" t="str">
            <v>Calcium carbonate base workover system; Filtrate Reducers</v>
          </cell>
        </row>
        <row r="862">
          <cell r="A862" t="str">
            <v>Smart plug</v>
          </cell>
          <cell r="C862" t="str">
            <v>Blended LCM; Lost Circulation Material</v>
          </cell>
        </row>
        <row r="863">
          <cell r="A863" t="str">
            <v>SN-1890</v>
          </cell>
          <cell r="C863" t="str">
            <v>Synthetic base oil used in Synterra system; Drill Mud Base Fluids</v>
          </cell>
          <cell r="D863" t="str">
            <v>not hydrocarbons</v>
          </cell>
        </row>
        <row r="864">
          <cell r="A864" t="str">
            <v>Soda Ash</v>
          </cell>
          <cell r="C864" t="str">
            <v>Sodium Carbonate; calcium remover</v>
          </cell>
          <cell r="D864" t="str">
            <v>Complete Salt calculations</v>
          </cell>
        </row>
        <row r="865">
          <cell r="A865" t="str">
            <v>Sodium Chromate</v>
          </cell>
          <cell r="C865" t="str">
            <v>Na2CrO4 H2O; corrosion inhibitor</v>
          </cell>
          <cell r="D865" t="str">
            <v>Complete Cr calculations</v>
          </cell>
        </row>
        <row r="866">
          <cell r="A866" t="str">
            <v>Sodium Formate</v>
          </cell>
          <cell r="C866" t="str">
            <v>High density brine; Weighting Materials</v>
          </cell>
          <cell r="D866" t="str">
            <v>Potential salt concern</v>
          </cell>
        </row>
        <row r="867">
          <cell r="A867" t="str">
            <v>Sodium Sulfite</v>
          </cell>
          <cell r="C867" t="str">
            <v>HT polymer stabilizer; Polymer Stabilizers</v>
          </cell>
          <cell r="D867" t="str">
            <v>Potential salt concern</v>
          </cell>
        </row>
        <row r="868">
          <cell r="A868" t="str">
            <v>Sodium Sulphate</v>
          </cell>
          <cell r="C868" t="str">
            <v>Corrosion inhibitor</v>
          </cell>
          <cell r="D868" t="str">
            <v>Potential salt concern</v>
          </cell>
        </row>
        <row r="869">
          <cell r="A869" t="str">
            <v>Sodium Sulphite</v>
          </cell>
          <cell r="C869" t="str">
            <v>Oxygen scavenger; corrosion inhibitor</v>
          </cell>
          <cell r="D869" t="str">
            <v>Potential salt concern</v>
          </cell>
        </row>
        <row r="870">
          <cell r="A870" t="str">
            <v>Soltex</v>
          </cell>
          <cell r="C870" t="str">
            <v>Sodium ashphalt sulphonate; Shale Control Inhibitors</v>
          </cell>
        </row>
        <row r="871">
          <cell r="A871" t="str">
            <v>Solubridge</v>
          </cell>
          <cell r="C871" t="str">
            <v>Sized oil-soluble resins; Lost Circulation Material</v>
          </cell>
        </row>
        <row r="872">
          <cell r="A872" t="str">
            <v>Soludril-N</v>
          </cell>
          <cell r="C872" t="str">
            <v>Sized salt polymer system; Systems</v>
          </cell>
        </row>
        <row r="873">
          <cell r="A873" t="str">
            <v>Soluflake</v>
          </cell>
          <cell r="C873" t="str">
            <v>Flaked calcium carbonate; Lost Circulation Material</v>
          </cell>
        </row>
        <row r="874">
          <cell r="A874" t="str">
            <v>Solukleen</v>
          </cell>
          <cell r="C874" t="str">
            <v>Oil soluble resin base workover fluid; Filtrate Reducers</v>
          </cell>
        </row>
        <row r="875">
          <cell r="A875" t="str">
            <v>Solu-Squeez</v>
          </cell>
          <cell r="C875" t="str">
            <v>Acid-soluble high fluid loss LCM squeeze; Lost Circulation Material</v>
          </cell>
        </row>
        <row r="876">
          <cell r="A876" t="str">
            <v>Soluvis</v>
          </cell>
          <cell r="C876" t="str">
            <v>Polymer &amp; sized resins; Viscosifiers</v>
          </cell>
        </row>
        <row r="877">
          <cell r="A877" t="str">
            <v>Sooner Seal</v>
          </cell>
          <cell r="C877" t="str">
            <v>Polyester flake; Lost Circulation Material</v>
          </cell>
        </row>
        <row r="878">
          <cell r="A878" t="str">
            <v>Spartan</v>
          </cell>
          <cell r="C878" t="str">
            <v>Barite/Baroid; Weighting Agent</v>
          </cell>
          <cell r="D878" t="str">
            <v>Complete Ba calculations</v>
          </cell>
        </row>
        <row r="879">
          <cell r="A879" t="str">
            <v>Spersene</v>
          </cell>
          <cell r="C879" t="str">
            <v>Chrome lignosulfonate; Thinners, Dispersants</v>
          </cell>
          <cell r="D879" t="str">
            <v>Complete Cr calculations</v>
          </cell>
        </row>
        <row r="880">
          <cell r="A880" t="str">
            <v>Spersene CF</v>
          </cell>
          <cell r="C880" t="str">
            <v>Chrome-free lignosulfonate; Thinners, Dispersants</v>
          </cell>
          <cell r="D880" t="str">
            <v>Cr free, do not complete Cr calculation</v>
          </cell>
        </row>
        <row r="881">
          <cell r="A881" t="str">
            <v>Stable K</v>
          </cell>
          <cell r="C881" t="str">
            <v>Cationic organic mulitvalent inhibitor; Shale Control Inhibitors</v>
          </cell>
        </row>
        <row r="882">
          <cell r="A882" t="str">
            <v>Staflo Ex-Lo Supreme</v>
          </cell>
          <cell r="C882" t="str">
            <v>Low viscosity PAC; Filtrate Reducers</v>
          </cell>
        </row>
        <row r="883">
          <cell r="A883" t="str">
            <v>Staflo Reg</v>
          </cell>
          <cell r="C883" t="str">
            <v>Polyanionic cellulose; filtrate reducer</v>
          </cell>
        </row>
        <row r="884">
          <cell r="A884" t="str">
            <v>Staflo Regular</v>
          </cell>
          <cell r="C884" t="str">
            <v>Polyanionic cellulose; Filtrate Reducers</v>
          </cell>
        </row>
        <row r="885">
          <cell r="A885" t="str">
            <v>Starch</v>
          </cell>
          <cell r="C885" t="str">
            <v>Carbohydrates from corn, wheat, oats, rice, potatoes, or yucca; viscosity controller</v>
          </cell>
        </row>
        <row r="886">
          <cell r="A886" t="str">
            <v>Standrill</v>
          </cell>
          <cell r="C886" t="str">
            <v>Tri-methyl Ammonium Chloride; Shale Inhibitor</v>
          </cell>
        </row>
        <row r="887">
          <cell r="A887" t="str">
            <v>Stardril</v>
          </cell>
          <cell r="C887" t="str">
            <v>Filtration control LWD; Filtrate Reducers</v>
          </cell>
        </row>
        <row r="888">
          <cell r="A888" t="str">
            <v>Starlose</v>
          </cell>
          <cell r="C888" t="str">
            <v>Modified starch with biocide; Filtrate Reducers</v>
          </cell>
        </row>
        <row r="889">
          <cell r="A889" t="str">
            <v>Starpak</v>
          </cell>
          <cell r="C889" t="str">
            <v>Non-fermenting starch; filtrate reducer</v>
          </cell>
        </row>
        <row r="890">
          <cell r="A890" t="str">
            <v>Starpak DP</v>
          </cell>
          <cell r="C890" t="str">
            <v>Non-fermenting derivatized starch; Filtrate Reducers</v>
          </cell>
        </row>
        <row r="891">
          <cell r="A891" t="str">
            <v>Steelseal</v>
          </cell>
          <cell r="C891" t="str">
            <v>Dual composition carbon material; Lost Circulation Material</v>
          </cell>
        </row>
        <row r="892">
          <cell r="A892" t="str">
            <v>Stop-Frac</v>
          </cell>
          <cell r="C892" t="str">
            <v>Blended LCM; Lost Circulation Material</v>
          </cell>
        </row>
        <row r="893">
          <cell r="A893" t="str">
            <v>SUFE-COAT</v>
          </cell>
          <cell r="C893" t="str">
            <v>Oil wetting agent; emulisifier</v>
          </cell>
        </row>
        <row r="894">
          <cell r="A894" t="str">
            <v>Sulfamic Acid</v>
          </cell>
          <cell r="C894" t="str">
            <v>Amidosulfonic acid; alkalinity and pH control</v>
          </cell>
        </row>
        <row r="895">
          <cell r="A895" t="str">
            <v>Sulfatrol</v>
          </cell>
          <cell r="C895" t="str">
            <v>Sulfonated ashphalt; Shale Control Inhibitors</v>
          </cell>
        </row>
        <row r="896">
          <cell r="A896" t="str">
            <v>Sun CG</v>
          </cell>
          <cell r="C896" t="str">
            <v>Coupled gilsonite-based dispersion; Shale Control Inhibitors</v>
          </cell>
        </row>
        <row r="897">
          <cell r="A897" t="str">
            <v>Super Floc</v>
          </cell>
          <cell r="C897" t="str">
            <v>Organic Polymer; Flocculants</v>
          </cell>
        </row>
        <row r="898">
          <cell r="A898" t="str">
            <v>Super Sweep</v>
          </cell>
          <cell r="C898" t="str">
            <v>Treated polypropolene fibre; Viscosifiers</v>
          </cell>
        </row>
        <row r="899">
          <cell r="A899" t="str">
            <v>Super-Col</v>
          </cell>
          <cell r="C899" t="str">
            <v>Extra high yield bentonite; Viscosifiers</v>
          </cell>
        </row>
        <row r="900">
          <cell r="A900" t="str">
            <v>Superlig</v>
          </cell>
          <cell r="C900" t="str">
            <v>Lignite; Thinners, Dispersants</v>
          </cell>
        </row>
        <row r="901">
          <cell r="A901" t="str">
            <v>Superwet 250</v>
          </cell>
          <cell r="C901" t="str">
            <v>Non-ionic water wetting agent; Surface Active Agents</v>
          </cell>
        </row>
        <row r="902">
          <cell r="A902" t="str">
            <v>Surf-Cote/Omni-Cote</v>
          </cell>
          <cell r="C902" t="str">
            <v>Oil wetting agent; emulsifier</v>
          </cell>
        </row>
        <row r="903">
          <cell r="A903" t="str">
            <v>Suspentone</v>
          </cell>
          <cell r="C903" t="str">
            <v>Organophilic viscosifier for oils; Viscosifiers</v>
          </cell>
        </row>
        <row r="904">
          <cell r="A904" t="str">
            <v>Sweep-Wate</v>
          </cell>
          <cell r="C904" t="str">
            <v>Selectively sized barite for high density sweeps; Weighting Materials</v>
          </cell>
          <cell r="D904" t="str">
            <v>Complete Ba calculations</v>
          </cell>
        </row>
        <row r="905">
          <cell r="A905" t="str">
            <v>Synerchem CS-50</v>
          </cell>
          <cell r="C905" t="str">
            <v>Chloride free amine inhibitor; Shale Control Inhibitors</v>
          </cell>
        </row>
        <row r="906">
          <cell r="A906" t="str">
            <v>Synerdrill FR-1</v>
          </cell>
          <cell r="C906" t="str">
            <v>Acrylamide AMPS co-polymer; Filtrate Reducers</v>
          </cell>
        </row>
        <row r="907">
          <cell r="A907" t="str">
            <v>Synerdrill FR-2</v>
          </cell>
          <cell r="C907" t="str">
            <v>Sulfonated pam; Filtrate Reducers</v>
          </cell>
        </row>
        <row r="908">
          <cell r="A908" t="str">
            <v>Synerfloc D-40</v>
          </cell>
          <cell r="C908" t="str">
            <v>Poly DADMAC; Flocculants</v>
          </cell>
        </row>
        <row r="909">
          <cell r="A909" t="str">
            <v>Synerfloc D71181</v>
          </cell>
          <cell r="C909" t="str">
            <v>Cationic Co-polymer; Flocculants</v>
          </cell>
        </row>
        <row r="910">
          <cell r="A910" t="str">
            <v>Synerfloc PA-50</v>
          </cell>
          <cell r="C910" t="str">
            <v>Polyamine; Flocculants</v>
          </cell>
        </row>
        <row r="911">
          <cell r="A911" t="str">
            <v>Synerflow</v>
          </cell>
          <cell r="C911" t="str">
            <v>Xanthan,guar,guar blends; Viscosifiers</v>
          </cell>
        </row>
        <row r="912">
          <cell r="A912" t="str">
            <v>Synerflow S</v>
          </cell>
          <cell r="C912" t="str">
            <v>Sceroglucan; Viscosifiers</v>
          </cell>
        </row>
        <row r="913">
          <cell r="A913" t="str">
            <v>Synerfoam</v>
          </cell>
          <cell r="C913" t="str">
            <v>Surfactant blend; Foaming Agents</v>
          </cell>
        </row>
        <row r="914">
          <cell r="A914" t="str">
            <v>Synerhib KF</v>
          </cell>
          <cell r="C914" t="str">
            <v>Potassium formate; Shale Control Inhibitors</v>
          </cell>
          <cell r="D914" t="str">
            <v>Complete Salt calculations; Advanced Gel Chem</v>
          </cell>
        </row>
        <row r="915">
          <cell r="A915" t="str">
            <v>Synerplex</v>
          </cell>
          <cell r="C915" t="str">
            <v>MMH; Viscosifiers</v>
          </cell>
        </row>
        <row r="916">
          <cell r="A916" t="str">
            <v>Synersperse</v>
          </cell>
          <cell r="C916" t="str">
            <v>Liquid/dry LMW polymers; Thinners, Dispersants</v>
          </cell>
        </row>
        <row r="917">
          <cell r="A917" t="str">
            <v>Synersperse 35-50</v>
          </cell>
          <cell r="C917" t="str">
            <v>Liquid thinner polyacrylate; Thinners, Dispersants</v>
          </cell>
        </row>
        <row r="918">
          <cell r="A918" t="str">
            <v>Synerthin EX</v>
          </cell>
          <cell r="C918" t="str">
            <v>Power thinner polyacrylate; Thinners, Dispersants</v>
          </cell>
        </row>
        <row r="919">
          <cell r="A919" t="str">
            <v>Synervis</v>
          </cell>
          <cell r="C919" t="str">
            <v>Guar gum; Viscosifiers</v>
          </cell>
        </row>
        <row r="920">
          <cell r="A920" t="str">
            <v>Synervis L</v>
          </cell>
          <cell r="C920" t="str">
            <v>Guar gum liquid; Viscosifiers</v>
          </cell>
        </row>
        <row r="921">
          <cell r="A921" t="str">
            <v>Synerxan</v>
          </cell>
          <cell r="C921" t="str">
            <v>Xanthan gum; Viscosifiers</v>
          </cell>
        </row>
        <row r="922">
          <cell r="A922" t="str">
            <v>Synerxan D</v>
          </cell>
          <cell r="C922" t="str">
            <v>Dispersible xanthan gum; Viscosifiers</v>
          </cell>
        </row>
        <row r="923">
          <cell r="A923" t="str">
            <v>Synerxan L</v>
          </cell>
          <cell r="C923" t="str">
            <v>Xanthan liquid; Viscosifiers</v>
          </cell>
        </row>
        <row r="924">
          <cell r="A924" t="str">
            <v>Synterra</v>
          </cell>
          <cell r="C924" t="str">
            <v>Low viscosity synthetic olefin isomer drilling fluid; Systems</v>
          </cell>
        </row>
        <row r="925">
          <cell r="A925" t="str">
            <v>T-352</v>
          </cell>
          <cell r="C925" t="str">
            <v>Gluteraldehyde; bactericides</v>
          </cell>
        </row>
        <row r="926">
          <cell r="A926" t="str">
            <v>Tannathin</v>
          </cell>
          <cell r="C926" t="str">
            <v>Lignite; reduces fluid loss</v>
          </cell>
        </row>
        <row r="927">
          <cell r="A927" t="str">
            <v>Tannix/Tannex</v>
          </cell>
          <cell r="C927" t="str">
            <v>Thinner</v>
          </cell>
        </row>
        <row r="928">
          <cell r="A928" t="str">
            <v>Tar-Clean</v>
          </cell>
          <cell r="C928" t="str">
            <v>Anti-accretion for bitumen; Surface Active Agents</v>
          </cell>
        </row>
        <row r="929">
          <cell r="A929" t="str">
            <v>TDL-13</v>
          </cell>
          <cell r="C929" t="str">
            <v>Liquid TEQ detergent – Water soluable biodegradable detergent; Surfactant</v>
          </cell>
        </row>
        <row r="930">
          <cell r="A930" t="str">
            <v>Temperus</v>
          </cell>
          <cell r="C930" t="str">
            <v>Suspension agent for oil based and synthetic muds; Viscosifiers</v>
          </cell>
          <cell r="D930" t="str">
            <v>Hydrocarbons</v>
          </cell>
        </row>
        <row r="931">
          <cell r="A931" t="str">
            <v>Teq Detergent 20L</v>
          </cell>
          <cell r="C931" t="str">
            <v>Water-soluble, biodegradable detergent/rigwash; Surface Active Agents</v>
          </cell>
        </row>
        <row r="932">
          <cell r="A932" t="str">
            <v>Teq Floc RD</v>
          </cell>
          <cell r="C932" t="str">
            <v>High mol. Wt. Anionic dispersible PHPA; Flocculants</v>
          </cell>
        </row>
        <row r="933">
          <cell r="A933" t="str">
            <v>Teq-Thin</v>
          </cell>
          <cell r="C933" t="str">
            <v>Chrome-free lignosulfonate; Thinners, Dispersants</v>
          </cell>
        </row>
        <row r="934">
          <cell r="A934" t="str">
            <v>Therma Check</v>
          </cell>
          <cell r="C934" t="str">
            <v>Extreme HT filtrate reducer; Filtrate Reducers</v>
          </cell>
        </row>
        <row r="935">
          <cell r="A935" t="str">
            <v>Therma Vis</v>
          </cell>
          <cell r="C935" t="str">
            <v>Extreme high bentonite extender; Viscosifiers</v>
          </cell>
        </row>
        <row r="936">
          <cell r="A936" t="str">
            <v>Thermapac U.L.</v>
          </cell>
          <cell r="C936" t="str">
            <v>Carboxymethyl starch; Filtrate Reducers</v>
          </cell>
        </row>
        <row r="937">
          <cell r="A937" t="str">
            <v>Therma-Thin</v>
          </cell>
          <cell r="C937" t="str">
            <v>Extreme high-temp reducer/dispersant; Thinners, Dispersants</v>
          </cell>
        </row>
        <row r="938">
          <cell r="A938" t="str">
            <v>Thermosafe</v>
          </cell>
          <cell r="C938" t="str">
            <v>High temperature stabilizer; Polymer Stabilizers</v>
          </cell>
        </row>
        <row r="939">
          <cell r="A939" t="str">
            <v>Thikquik</v>
          </cell>
          <cell r="C939" t="str">
            <v>No fish-eye stabilzed HEC; Viscosifiers</v>
          </cell>
        </row>
        <row r="940">
          <cell r="A940" t="str">
            <v>Thikquik-L</v>
          </cell>
          <cell r="C940" t="str">
            <v>Liquid dispersed HEC; Viscosifiers</v>
          </cell>
        </row>
        <row r="941">
          <cell r="A941" t="str">
            <v>Thin-Tex</v>
          </cell>
          <cell r="C941" t="str">
            <v>Modified lignosulphonate; Thinners, Dispersants</v>
          </cell>
        </row>
        <row r="942">
          <cell r="A942" t="str">
            <v>Thinzit</v>
          </cell>
          <cell r="C942" t="str">
            <v>Oil mud dispersant; Thinners, Dispersants</v>
          </cell>
          <cell r="D942" t="str">
            <v>Hydrocarbons</v>
          </cell>
        </row>
        <row r="943">
          <cell r="A943" t="str">
            <v>Thix</v>
          </cell>
          <cell r="C943" t="str">
            <v>Blend of polymers; Viscosifiers</v>
          </cell>
        </row>
        <row r="944">
          <cell r="A944" t="str">
            <v>Thix-Pak</v>
          </cell>
          <cell r="C944" t="str">
            <v>Stabilized thixotropic polymers; Viscosifiers</v>
          </cell>
        </row>
        <row r="945">
          <cell r="A945" t="str">
            <v>Thixsal</v>
          </cell>
          <cell r="C945" t="str">
            <v>Polymer blend for suspending microsized salt; Viscosifiers</v>
          </cell>
        </row>
        <row r="946">
          <cell r="A946" t="str">
            <v>Torkease</v>
          </cell>
          <cell r="C946" t="str">
            <v>Non-toxic lubricating agent; Lubricants</v>
          </cell>
        </row>
        <row r="947">
          <cell r="A947" t="str">
            <v>Torq 2000</v>
          </cell>
          <cell r="C947" t="str">
            <v>Non-foaming vegetable oil- based lubricant; Lubricants</v>
          </cell>
        </row>
        <row r="948">
          <cell r="A948" t="str">
            <v>Torq Reducer</v>
          </cell>
          <cell r="C948" t="str">
            <v>Liquid lubricant; Lubricants</v>
          </cell>
        </row>
        <row r="949">
          <cell r="A949" t="str">
            <v>Torq-Glide</v>
          </cell>
          <cell r="C949" t="str">
            <v>Non-foaming esther based lubricant; Lubricants</v>
          </cell>
        </row>
        <row r="950">
          <cell r="A950" t="str">
            <v>Torq-Lube</v>
          </cell>
          <cell r="C950" t="str">
            <v>Liquid Glycol-base; Lubricants</v>
          </cell>
        </row>
        <row r="951">
          <cell r="A951" t="str">
            <v>Torq-Trim II</v>
          </cell>
          <cell r="C951" t="str">
            <v>Alcohol Amide; Lubricants</v>
          </cell>
        </row>
        <row r="952">
          <cell r="A952" t="str">
            <v>Torq-Trol II</v>
          </cell>
          <cell r="C952" t="str">
            <v>Sulfonated vegetable oil; Lubricants</v>
          </cell>
        </row>
        <row r="953">
          <cell r="A953" t="str">
            <v>Torque-less</v>
          </cell>
          <cell r="C953" t="str">
            <v>Friction reducing glass beads; Lubricants</v>
          </cell>
        </row>
        <row r="954">
          <cell r="A954" t="str">
            <v>TR60</v>
          </cell>
          <cell r="C954" t="str">
            <v>Sulfonated vegetable oil; Lubricants</v>
          </cell>
        </row>
        <row r="955">
          <cell r="A955" t="str">
            <v>Transfoam</v>
          </cell>
          <cell r="C955" t="str">
            <v>pH controlled foam system; Systems</v>
          </cell>
        </row>
        <row r="956">
          <cell r="A956" t="str">
            <v>Trimulso</v>
          </cell>
          <cell r="C956" t="str">
            <v>Oil in water emulsifier; Surface Active Agents</v>
          </cell>
        </row>
        <row r="957">
          <cell r="A957" t="str">
            <v>Trudril</v>
          </cell>
          <cell r="C957" t="str">
            <v>All oil OBM; Systems</v>
          </cell>
        </row>
        <row r="958">
          <cell r="A958" t="str">
            <v>Truvis</v>
          </cell>
          <cell r="C958" t="str">
            <v>Rapid yield organophilic clay; Viscosifiers</v>
          </cell>
          <cell r="D958" t="str">
            <v>used with oil base systems</v>
          </cell>
        </row>
        <row r="959">
          <cell r="A959" t="str">
            <v>TS301</v>
          </cell>
          <cell r="C959" t="str">
            <v>Lignosulfonate complex; Filtrate Reducers</v>
          </cell>
        </row>
        <row r="960">
          <cell r="A960" t="str">
            <v>Turbolink</v>
          </cell>
          <cell r="C960" t="str">
            <v>Liquid polymer mud system; Systems</v>
          </cell>
        </row>
        <row r="961">
          <cell r="A961" t="str">
            <v>Turbovis</v>
          </cell>
          <cell r="C961" t="str">
            <v>Liquid polysaccharide polymer; Viscosifiers</v>
          </cell>
        </row>
        <row r="962">
          <cell r="A962" t="str">
            <v>Tylose</v>
          </cell>
          <cell r="C962" t="str">
            <v>Hydroxyethel Cellulose; Viscosifiers</v>
          </cell>
        </row>
        <row r="963">
          <cell r="A963" t="str">
            <v>Ultra Seal</v>
          </cell>
          <cell r="C963" t="str">
            <v>Ground cellulose; lost circulation material</v>
          </cell>
        </row>
        <row r="964">
          <cell r="A964" t="str">
            <v>Ultra Seal C</v>
          </cell>
          <cell r="C964" t="str">
            <v>Coarse ground cellulose; Lost Circulation Material</v>
          </cell>
        </row>
        <row r="965">
          <cell r="A965" t="str">
            <v>Ultra Seal Plus</v>
          </cell>
          <cell r="C965" t="str">
            <v>Medium ground cellulose; Lost Circulation Material</v>
          </cell>
        </row>
        <row r="966">
          <cell r="A966" t="str">
            <v>Ultra Seal XP</v>
          </cell>
          <cell r="C966" t="str">
            <v>Fine ground cellulose; Lost Circulation Material</v>
          </cell>
        </row>
        <row r="967">
          <cell r="A967" t="str">
            <v>Ultrabreak M</v>
          </cell>
          <cell r="C967" t="str">
            <v>Internal breaker for filter cake; Polymer Breakers</v>
          </cell>
        </row>
        <row r="968">
          <cell r="A968" t="str">
            <v>Ultracap</v>
          </cell>
          <cell r="C968" t="str">
            <v>Polymeric shale inhibitor; Shale Control Inhibitors</v>
          </cell>
        </row>
        <row r="969">
          <cell r="A969" t="str">
            <v>Ultradrill</v>
          </cell>
          <cell r="C969" t="str">
            <v>High performance WBM; Systems</v>
          </cell>
        </row>
        <row r="970">
          <cell r="A970" t="str">
            <v>Ultraglide Beads</v>
          </cell>
          <cell r="C970" t="str">
            <v>Divinyl benzene styrene co-polymer; Lubricants</v>
          </cell>
        </row>
        <row r="971">
          <cell r="A971" t="str">
            <v>Ultraglide XLT</v>
          </cell>
          <cell r="C971" t="str">
            <v>Non-foaming liquid; Lubricants</v>
          </cell>
        </row>
        <row r="972">
          <cell r="A972" t="str">
            <v>Ultrahib</v>
          </cell>
          <cell r="C972" t="str">
            <v>Shale Inhibitor; Shale Control Inhibitors</v>
          </cell>
        </row>
        <row r="973">
          <cell r="A973" t="str">
            <v>Unical</v>
          </cell>
          <cell r="C973" t="str">
            <v>Chrome lignosulfonate; Thinners, Dispersants</v>
          </cell>
          <cell r="D973" t="str">
            <v>Complete Cr calculations</v>
          </cell>
        </row>
        <row r="974">
          <cell r="A974" t="str">
            <v>Unical CF</v>
          </cell>
          <cell r="C974" t="str">
            <v>Chrome-free lignosulfonate; Thinners, Dispersants</v>
          </cell>
          <cell r="D974" t="str">
            <v>Cr free, do not complete Cr calculation</v>
          </cell>
        </row>
        <row r="975">
          <cell r="A975" t="str">
            <v>Unifoam</v>
          </cell>
          <cell r="C975" t="str">
            <v>Synergistic surfactant blend; Foaming Agents</v>
          </cell>
        </row>
        <row r="976">
          <cell r="A976" t="str">
            <v>Unipac</v>
          </cell>
          <cell r="C976" t="str">
            <v>Polyanionic Cellulose; Fluidloss Reducer</v>
          </cell>
        </row>
        <row r="977">
          <cell r="A977" t="str">
            <v>Unitrol</v>
          </cell>
          <cell r="C977" t="str">
            <v>Modified starch; Filtrate Reducers</v>
          </cell>
        </row>
        <row r="978">
          <cell r="A978" t="str">
            <v>Unknown Additive</v>
          </cell>
          <cell r="C978" t="str">
            <v>unknown</v>
          </cell>
        </row>
        <row r="979">
          <cell r="A979" t="str">
            <v>Valfor 100</v>
          </cell>
          <cell r="C979" t="str">
            <v>Sodium aluminosilicate; calcium remover</v>
          </cell>
        </row>
        <row r="980">
          <cell r="A980" t="str">
            <v>Variseal</v>
          </cell>
          <cell r="C980" t="str">
            <v>Blended LCM; Lost Circulation Material</v>
          </cell>
        </row>
        <row r="981">
          <cell r="A981" t="str">
            <v>Versaclean</v>
          </cell>
          <cell r="C981" t="str">
            <v>Mineral oil CaCl2 OBM; Systems</v>
          </cell>
          <cell r="D981" t="str">
            <v>Maybe used with Hydrocarbon systems. Note other additives that contain hydrocarbons.  Salt calc</v>
          </cell>
        </row>
        <row r="982">
          <cell r="A982" t="str">
            <v>Versaclean B</v>
          </cell>
          <cell r="C982" t="str">
            <v>Low toxicity SHC base oils; Drill Mud Base Fluids</v>
          </cell>
        </row>
        <row r="983">
          <cell r="A983" t="str">
            <v>Versacoat</v>
          </cell>
          <cell r="C983" t="str">
            <v>Blended emulsifier and gelling agent; emulsifier</v>
          </cell>
        </row>
        <row r="984">
          <cell r="A984" t="str">
            <v>Versadrill</v>
          </cell>
          <cell r="C984" t="str">
            <v>Diesel calcium chloride OBM; Systems</v>
          </cell>
          <cell r="D984" t="str">
            <v>Diesel based hydrocarbon</v>
          </cell>
        </row>
        <row r="985">
          <cell r="A985" t="str">
            <v>Versadrill B</v>
          </cell>
          <cell r="C985" t="str">
            <v>Diesel &amp; dirty mineral salts; Drill Mud Base Fluids</v>
          </cell>
          <cell r="D985" t="str">
            <v>Diesel based hydrocarbon</v>
          </cell>
        </row>
        <row r="986">
          <cell r="A986" t="str">
            <v>Versahrp</v>
          </cell>
          <cell r="C986" t="str">
            <v>Liquid viscosifier &amp; gellant for oil muds; Viscosifiers</v>
          </cell>
        </row>
        <row r="987">
          <cell r="A987" t="str">
            <v>Versalig</v>
          </cell>
          <cell r="C987" t="str">
            <v>Modified lignite; Filtrate Reducers</v>
          </cell>
        </row>
        <row r="988">
          <cell r="A988" t="str">
            <v>Versamac</v>
          </cell>
          <cell r="C988" t="str">
            <v>Emulsifier for high-brine content fluid; emulsifier</v>
          </cell>
        </row>
        <row r="989">
          <cell r="A989" t="str">
            <v>Versamod</v>
          </cell>
          <cell r="C989" t="str">
            <v>Low shear rate modifier for oil muds; Viscosity modifier; emulsifier</v>
          </cell>
        </row>
        <row r="990">
          <cell r="A990" t="str">
            <v>Versamul</v>
          </cell>
          <cell r="C990" t="str">
            <v>Mineral oil emulsifier; emulsifier</v>
          </cell>
        </row>
        <row r="991">
          <cell r="A991" t="str">
            <v>Versapac</v>
          </cell>
          <cell r="C991" t="str">
            <v>Thermally activated organic thixotrope; Viscosifiers</v>
          </cell>
        </row>
        <row r="992">
          <cell r="A992" t="str">
            <v>Versapro P/S</v>
          </cell>
          <cell r="C992" t="str">
            <v>Primary emulsifier for Versapro system; emulsifier</v>
          </cell>
        </row>
        <row r="993">
          <cell r="A993" t="str">
            <v>Versathin</v>
          </cell>
          <cell r="C993" t="str">
            <v>Oil mud dispersant; Thinners, Dispersants</v>
          </cell>
          <cell r="D993" t="str">
            <v>Hydrocarbons</v>
          </cell>
        </row>
        <row r="994">
          <cell r="A994" t="str">
            <v>Versatrol</v>
          </cell>
          <cell r="C994" t="str">
            <v>Naturally occurring gilsonite; Filtrate Reducers</v>
          </cell>
        </row>
        <row r="995">
          <cell r="A995" t="str">
            <v>Versawet</v>
          </cell>
          <cell r="C995" t="str">
            <v>Oil wetting agent for oil muds;  Surface Active Agents; emulsifier</v>
          </cell>
          <cell r="D995" t="str">
            <v>Hydrocarbons</v>
          </cell>
        </row>
        <row r="996">
          <cell r="A996" t="str">
            <v>VG Supreme</v>
          </cell>
          <cell r="C996" t="str">
            <v>Organophilic clay; Viscosifiers</v>
          </cell>
        </row>
        <row r="997">
          <cell r="A997" t="str">
            <v>VG69</v>
          </cell>
          <cell r="C997" t="str">
            <v>Organophilic clay; Viscosifiers</v>
          </cell>
        </row>
        <row r="998">
          <cell r="A998" t="str">
            <v>Viscom</v>
          </cell>
          <cell r="C998" t="str">
            <v>Viscosifying polymer blend; Viscosifiers</v>
          </cell>
        </row>
        <row r="999">
          <cell r="A999" t="str">
            <v>Visplus</v>
          </cell>
          <cell r="C999" t="str">
            <v>Thixotropic viscosifying polymer blend; Viscosifiers</v>
          </cell>
        </row>
        <row r="1000">
          <cell r="A1000" t="str">
            <v>Volclay</v>
          </cell>
          <cell r="C1000" t="str">
            <v>Bentonite; Viscosifiers</v>
          </cell>
        </row>
        <row r="1001">
          <cell r="A1001" t="str">
            <v>W O Defoam</v>
          </cell>
          <cell r="C1001" t="str">
            <v>Alcohol based defoamer; defoamer</v>
          </cell>
        </row>
        <row r="1002">
          <cell r="A1002" t="str">
            <v>Walnut Hulls</v>
          </cell>
          <cell r="C1002" t="str">
            <v>Ground Walnut shells; Lost Circulation Material</v>
          </cell>
        </row>
        <row r="1003">
          <cell r="A1003" t="str">
            <v>Water</v>
          </cell>
          <cell r="C1003" t="str">
            <v>filtrate reducer/ viscosifier</v>
          </cell>
        </row>
        <row r="1004">
          <cell r="A1004" t="str">
            <v>Weatherfoam 104</v>
          </cell>
          <cell r="C1004" t="str">
            <v>Polymer recyclable foam system; Systems</v>
          </cell>
        </row>
        <row r="1005">
          <cell r="A1005" t="str">
            <v>Weight Salt</v>
          </cell>
          <cell r="C1005" t="str">
            <v>Sized salt for density and fluid loss control; Weighting Materials</v>
          </cell>
        </row>
        <row r="1006">
          <cell r="A1006" t="str">
            <v>Weighting Material</v>
          </cell>
          <cell r="C1006" t="str">
            <v>Processed barites (BaSO4); Weighting Materials</v>
          </cell>
          <cell r="D1006" t="str">
            <v>Complete Ba calculations; assume to be barite unless otherwise noted</v>
          </cell>
        </row>
        <row r="1007">
          <cell r="A1007" t="str">
            <v>Wellzyme A</v>
          </cell>
          <cell r="C1007" t="str">
            <v>Enzyme breaker with biocide; Polymer Breakers</v>
          </cell>
        </row>
        <row r="1008">
          <cell r="A1008" t="str">
            <v>Wellzyme AE</v>
          </cell>
          <cell r="C1008" t="str">
            <v>Enzyme breaker without biocide; Polymer Breakers</v>
          </cell>
        </row>
        <row r="1009">
          <cell r="A1009" t="str">
            <v>Western Poly</v>
          </cell>
          <cell r="C1009" t="str">
            <v>Polyethylene flake; Lost Circulation Material</v>
          </cell>
        </row>
        <row r="1010">
          <cell r="A1010" t="str">
            <v>Wetting Agent</v>
          </cell>
          <cell r="C1010" t="str">
            <v>Oil mud wetting agent; emulsifier</v>
          </cell>
          <cell r="D1010" t="str">
            <v>Hydrocarbons</v>
          </cell>
        </row>
        <row r="1011">
          <cell r="A1011" t="str">
            <v>WFT Transfoam</v>
          </cell>
          <cell r="C1011" t="str">
            <v>pH controlled foam; Foaming Agents</v>
          </cell>
        </row>
        <row r="1012">
          <cell r="A1012" t="str">
            <v>WFT-C-100</v>
          </cell>
          <cell r="C1012" t="str">
            <v>UBD Inhibitors; corrosion inhibitor</v>
          </cell>
        </row>
        <row r="1013">
          <cell r="A1013" t="str">
            <v>WFT-C-200</v>
          </cell>
          <cell r="C1013" t="str">
            <v>UBD Inhibitors; corrosion inhibitor</v>
          </cell>
        </row>
        <row r="1014">
          <cell r="A1014" t="str">
            <v>WFT-C-300</v>
          </cell>
          <cell r="C1014" t="str">
            <v>UBD Inhibitors; corrosion inhibitor</v>
          </cell>
        </row>
        <row r="1015">
          <cell r="A1015" t="str">
            <v>WFT-C-400</v>
          </cell>
          <cell r="C1015" t="str">
            <v>UBD Inhibitors; corrosion inhibitor</v>
          </cell>
        </row>
        <row r="1016">
          <cell r="A1016" t="str">
            <v>WFT-DF-100</v>
          </cell>
          <cell r="C1016" t="str">
            <v>Defoamer for transfoam system; defoamer</v>
          </cell>
        </row>
        <row r="1017">
          <cell r="A1017" t="str">
            <v>WFT-DF-I</v>
          </cell>
          <cell r="C1017" t="str">
            <v>Defoamer for non-recyclable foam system; defoamer</v>
          </cell>
        </row>
        <row r="1018">
          <cell r="A1018" t="str">
            <v>WFT-DT-104</v>
          </cell>
          <cell r="C1018" t="str">
            <v>Defoamer for 104 foam system; defoamer</v>
          </cell>
        </row>
        <row r="1019">
          <cell r="A1019" t="str">
            <v>WFT-F-100</v>
          </cell>
          <cell r="C1019" t="str">
            <v>Non-recyclable foam; Foaming Agents</v>
          </cell>
        </row>
        <row r="1020">
          <cell r="A1020" t="str">
            <v>WFT-F-104</v>
          </cell>
          <cell r="C1020" t="str">
            <v>Blended surfactants; Foaming Agents</v>
          </cell>
        </row>
        <row r="1021">
          <cell r="A1021" t="str">
            <v>WFT-HP-104</v>
          </cell>
          <cell r="C1021" t="str">
            <v>Liquid blended HEC; Viscosifiers</v>
          </cell>
        </row>
        <row r="1022">
          <cell r="A1022" t="str">
            <v>WFT-Oil Foam 2002</v>
          </cell>
          <cell r="C1022" t="str">
            <v>Foaming agent for oil; Foaming Agents</v>
          </cell>
        </row>
        <row r="1023">
          <cell r="A1023" t="str">
            <v>WFT-PP-104</v>
          </cell>
          <cell r="C1023" t="str">
            <v>Liquid blended PAC; Viscosifiers</v>
          </cell>
        </row>
        <row r="1024">
          <cell r="A1024" t="str">
            <v>WL 100</v>
          </cell>
          <cell r="C1024" t="str">
            <v>Sodium polyacrylate; Filtrate Reducers</v>
          </cell>
        </row>
        <row r="1025">
          <cell r="A1025" t="str">
            <v>WO 20</v>
          </cell>
          <cell r="C1025" t="str">
            <v>Hydroxyethyl cellulose with calcium carbonate; Viscosifiers</v>
          </cell>
        </row>
        <row r="1026">
          <cell r="A1026" t="str">
            <v>WO 21L</v>
          </cell>
          <cell r="C1026" t="str">
            <v>Liquid HEC; Viscosifiers</v>
          </cell>
        </row>
        <row r="1027">
          <cell r="A1027" t="str">
            <v>Wyoming Gel</v>
          </cell>
          <cell r="C1027" t="str">
            <v>Sodium montmorillonite; Viscosifiers</v>
          </cell>
        </row>
        <row r="1028">
          <cell r="A1028" t="str">
            <v>X Pel-G</v>
          </cell>
          <cell r="C1028" t="str">
            <v>Treated gilsonite; Surface Active Agents</v>
          </cell>
        </row>
        <row r="1029">
          <cell r="A1029" t="str">
            <v>Xandrill</v>
          </cell>
          <cell r="C1029" t="str">
            <v>Semi-dispersible xantham gum; Viscosifiers</v>
          </cell>
        </row>
        <row r="1030">
          <cell r="A1030" t="str">
            <v>XANPLEX</v>
          </cell>
          <cell r="C1030" t="str">
            <v>Readily dispersible xanthan gum polymer; viscosifer</v>
          </cell>
        </row>
        <row r="1031">
          <cell r="A1031" t="str">
            <v>Xan-Plex D</v>
          </cell>
          <cell r="C1031" t="str">
            <v>Readily dispersible xanthan gum polymer; Viscosifiers</v>
          </cell>
        </row>
        <row r="1032">
          <cell r="A1032" t="str">
            <v>Xanthan (Kelzan)</v>
          </cell>
          <cell r="C1032" t="str">
            <v>Xanthan gum; Viscosifiers</v>
          </cell>
        </row>
        <row r="1033">
          <cell r="A1033" t="str">
            <v>Xanvis</v>
          </cell>
          <cell r="C1033" t="str">
            <v>Clarified xanthan gum; Viscosifiers</v>
          </cell>
        </row>
        <row r="1034">
          <cell r="A1034" t="str">
            <v>Xanvis L</v>
          </cell>
          <cell r="C1034" t="str">
            <v>Liquid clarified xanthan gum; Viscosifiers</v>
          </cell>
        </row>
        <row r="1035">
          <cell r="A1035" t="str">
            <v>XCD POLMER</v>
          </cell>
          <cell r="C1035" t="str">
            <v>Dispersible xanthan gum; Viscoifier</v>
          </cell>
        </row>
        <row r="1036">
          <cell r="A1036" t="str">
            <v>X-Cide 102W</v>
          </cell>
          <cell r="C1036" t="str">
            <v>Winterized Gluteraldehyde; bactericides</v>
          </cell>
        </row>
        <row r="1037">
          <cell r="A1037" t="str">
            <v>X-Cide 207</v>
          </cell>
          <cell r="C1037" t="str">
            <v>Isothiazolone-base biostat powder; bactericides</v>
          </cell>
        </row>
        <row r="1038">
          <cell r="A1038" t="str">
            <v>XL-Defoamer</v>
          </cell>
          <cell r="C1038" t="str">
            <v>High Molecular Weight Alcohol Surfactant; defoamer</v>
          </cell>
        </row>
        <row r="1039">
          <cell r="A1039" t="str">
            <v>X-Link</v>
          </cell>
          <cell r="C1039" t="str">
            <v>Cross-linking polymer with blended LCM; Lost Circulation Material</v>
          </cell>
        </row>
        <row r="1040">
          <cell r="A1040" t="str">
            <v>XLR-Rate</v>
          </cell>
          <cell r="C1040" t="str">
            <v>ROP enhancer; Lubricants</v>
          </cell>
        </row>
        <row r="1041">
          <cell r="A1041" t="str">
            <v>X-Pel-G</v>
          </cell>
          <cell r="C1041" t="str">
            <v>Treated gilsonite; Shale Control Inhibitors</v>
          </cell>
        </row>
        <row r="1042">
          <cell r="A1042" t="str">
            <v>YP40</v>
          </cell>
          <cell r="C1042" t="str">
            <v>Water-based system specifically for shale gas zone; inhibiting fluid</v>
          </cell>
        </row>
        <row r="1043">
          <cell r="A1043" t="str">
            <v>YPC 71</v>
          </cell>
          <cell r="C1043" t="str">
            <v>Bentonite extender; Viscosifiers</v>
          </cell>
        </row>
        <row r="1044">
          <cell r="A1044" t="str">
            <v>Zeogel</v>
          </cell>
          <cell r="C1044" t="str">
            <v>Attapulgite powder; Viscosifiers</v>
          </cell>
        </row>
        <row r="1045">
          <cell r="A1045" t="str">
            <v>ZETAG</v>
          </cell>
          <cell r="C1045" t="str">
            <v>Flocculant</v>
          </cell>
        </row>
        <row r="1046">
          <cell r="A1046" t="str">
            <v>Zetag 7117</v>
          </cell>
          <cell r="C1046" t="str">
            <v>Liquid cationic coagulant; Flocculants</v>
          </cell>
        </row>
        <row r="1047">
          <cell r="A1047" t="str">
            <v>Zetag 7197</v>
          </cell>
          <cell r="C1047" t="str">
            <v>Liquid low mol. Wt. Cationic coagulant; Flocculants</v>
          </cell>
        </row>
        <row r="1048">
          <cell r="A1048" t="str">
            <v>Zetag 7557</v>
          </cell>
          <cell r="C1048" t="str">
            <v>HMW  charge cationic polyacrylamide; Flocculants</v>
          </cell>
        </row>
        <row r="1049">
          <cell r="A1049" t="str">
            <v>Zetag 7587</v>
          </cell>
          <cell r="C1049" t="str">
            <v>HMW medium charge cationic polyacrylamide; Flocculants</v>
          </cell>
        </row>
        <row r="1050">
          <cell r="A1050" t="str">
            <v>Zetag 7692</v>
          </cell>
          <cell r="C1050" t="str">
            <v>Very HMW medium charge cationic polyacrylamide; Flocculants</v>
          </cell>
        </row>
        <row r="1051">
          <cell r="A1051" t="str">
            <v>Zinc Carbonate</v>
          </cell>
          <cell r="C1051" t="str">
            <v>Sulphide scavenger; corrosion inhibitor</v>
          </cell>
          <cell r="D1051" t="str">
            <v>Complete Zn calculations</v>
          </cell>
        </row>
      </sheetData>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2" xr16:uid="{66F1A6C4-5CF2-49B9-871C-340354ACB822}" autoFormatId="16" applyNumberFormats="0" applyBorderFormats="0" applyFontFormats="0" applyPatternFormats="0" applyAlignmentFormats="0" applyWidthHeightFormats="0">
  <queryTableRefresh nextId="26">
    <queryTableFields count="25">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90D8132-5B61-4657-8209-F2847C0F154A}" autoFormatId="16" applyNumberFormats="0" applyBorderFormats="0" applyFontFormats="0" applyPatternFormats="0" applyAlignmentFormats="0" applyWidthHeightFormats="0">
  <queryTableRefresh nextId="12">
    <queryTableFields count="1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AB7004D-4C3A-4DE4-BA83-DF7C8DD9C0FC}" name="Table1" displayName="Table1" ref="B4:CX21" totalsRowShown="0" headerRowDxfId="139" dataDxfId="137" headerRowBorderDxfId="138">
  <autoFilter ref="B4:CX21" xr:uid="{6F6B7443-BDC6-4840-90A6-1F84BCD0AF6B}"/>
  <tableColumns count="101">
    <tableColumn id="1" xr3:uid="{957E2EA7-AE21-4245-8345-B02E73BACF28}" name="Asset Reference_x000a_ (Well license facility code, pipeline # or disposition #)" dataDxfId="136"/>
    <tableColumn id="2" xr3:uid="{DE208DEA-F5E7-42BF-815B-C02F63FF82A3}" name="Asset Name" dataDxfId="135">
      <calculatedColumnFormula>_xlfn.IFNA(VLOOKUP(Table1[[#This Row],[Asset Reference
 (Well license facility code, pipeline '# or disposition '#)]],'well report'!$D$5:$X$999,3,FALSE),"")</calculatedColumnFormula>
    </tableColumn>
    <tableColumn id="3" xr3:uid="{3237D8F4-FEFD-45A7-870D-6015FC257719}" name="Asset Type" dataDxfId="134"/>
    <tableColumn id="4" xr3:uid="{3699CC54-89B5-4687-B4B9-880C2DC02147}" name="Asset Status" dataDxfId="133">
      <calculatedColumnFormula>_xlfn.IFNA(VLOOKUP(Table1[[#This Row],[Asset Reference
 (Well license facility code, pipeline '# or disposition '#)]],'well report'!$D$5:$X$999,8,FALSE),"")</calculatedColumnFormula>
    </tableColumn>
    <tableColumn id="6" xr3:uid="{47205044-36BC-4B0F-95FB-C99D5766D146}" name="Authorization Holder_x000a_ (Client Name)" dataDxfId="132">
      <calculatedColumnFormula>_xlfn.IFNA(VLOOKUP(Table1[[#This Row],[Asset Reference
 (Well license facility code, pipeline '# or disposition '#)]],'well report'!$D$5:$X$999,5,FALSE),"")</calculatedColumnFormula>
    </tableColumn>
    <tableColumn id="7" xr3:uid="{F1230DAC-128A-438E-B593-DB4A6C3C9413}" name="Activity Type" dataDxfId="131"/>
    <tableColumn id="8" xr3:uid="{7C41B012-B7B1-4B52-B22B-CDA1D4957FD2}" name="Legal Land description_x000a_(List all -  use &quot;,&quot; to separate)" dataDxfId="130"/>
    <tableColumn id="9" xr3:uid="{E8AD48CF-23D2-47B9-AD68-CDC074EA50DA}" name="Associated Activity Type" dataDxfId="129"/>
    <tableColumn id="10" xr3:uid="{DFC71319-9CC0-40AB-83FC-6A5FB7C009A6}" name="If other (Describe)" dataDxfId="128"/>
    <tableColumn id="11" xr3:uid="{2AC17695-D3B0-4604-A48C-C7616447CFC3}" name="Legal Land description_x000a_(List all-use &quot;,&quot; to separate)" dataDxfId="127"/>
    <tableColumn id="112" xr3:uid="{C2D8788E-1974-44B2-B56D-EAEF5E9CE1AA}" name="Production Information per event" dataDxfId="126"/>
    <tableColumn id="12" xr3:uid="{519BF2DF-F672-4125-95C7-F79C3AE17990}" name="Have the stakeholders been given the opportunity to provide comments?" dataDxfId="125"/>
    <tableColumn id="13" xr3:uid="{27AC350A-A2FF-4F28-9650-8EF5AD9D0428}" name="Stakeholder Type" dataDxfId="124"/>
    <tableColumn id="14" xr3:uid="{9E9439E0-696C-48AC-8C7A-5ACF00B29861}" name="Name" dataDxfId="123"/>
    <tableColumn id="15" xr3:uid="{46AA7A4C-1D6C-4B65-AF31-8FC77CFAF4DE}" name="Date" dataDxfId="122"/>
    <tableColumn id="16" xr3:uid="{BDACDF1A-EE90-4B63-A00C-DD6E1CB188F2}" name="Interviewed By:" dataDxfId="121"/>
    <tableColumn id="87" xr3:uid="{BF5620BE-92A4-46AB-8901-0FB01AF9979E}" name="Stakeholder Comments" dataDxfId="120"/>
    <tableColumn id="17" xr3:uid="{B44110B4-9886-41E2-82CE-B21D67E74FA4}" name="Additional Comments (If Applicable)" dataDxfId="119"/>
    <tableColumn id="18" xr3:uid="{5A96DDA6-591B-43B9-8DA3-67F2A96DD493}" name="Well name or UWI" dataDxfId="118">
      <calculatedColumnFormula>_xlfn.IFNA(VLOOKUP(Table1[[#This Row],[Asset Reference
 (Well license facility code, pipeline '# or disposition '#)]],'well report'!$D$5:$X$999,3,FALSE),"")</calculatedColumnFormula>
    </tableColumn>
    <tableColumn id="19" xr3:uid="{B86DFEDE-C9D6-4916-9294-011B0A7CC5D2}" name="Spud Date" dataDxfId="117">
      <calculatedColumnFormula>_xlfn.IFNA(VLOOKUP(Table1[[#This Row],[Asset Reference
 (Well license facility code, pipeline '# or disposition '#)]],'well report'!$D$5:$X$999,9,FALSE),"")</calculatedColumnFormula>
    </tableColumn>
    <tableColumn id="20" xr3:uid="{B581A6A0-ED7D-42BD-8656-71C87F6FA630}" name="Final Drill Date" dataDxfId="116">
      <calculatedColumnFormula>_xlfn.IFNA(VLOOKUP(Table1[[#This Row],[Asset Reference
 (Well license facility code, pipeline '# or disposition '#)]],'well report'!$D$5:$X$999,10,FALSE),"")</calculatedColumnFormula>
    </tableColumn>
    <tableColumn id="21" xr3:uid="{60B52DFE-89DE-4CFB-B409-5F697D45CD6B}" name="Well Depth (m)" dataDxfId="115">
      <calculatedColumnFormula>_xlfn.IFNA(VLOOKUP(Table1[[#This Row],[Asset Reference
 (Well license facility code, pipeline '# or disposition '#)]],'well report'!$D$5:$X$999,20,FALSE),"")</calculatedColumnFormula>
    </tableColumn>
    <tableColumn id="22" xr3:uid="{40B28CDE-9EBC-4BDB-A6DD-C1B2969CF6CD}" name="Is this site a re-entry?" dataDxfId="114"/>
    <tableColumn id="23" xr3:uid="{35094CF8-9078-4E16-8520-292873C90CCB}" name="Is this site re-drilled?" dataDxfId="113"/>
    <tableColumn id="24" xr3:uid="{2277033F-90F4-496E-8556-1DD7C9D604CA}" name="Drilling Type" dataDxfId="112"/>
    <tableColumn id="25" xr3:uid="{AB91F586-541D-4828-A729-4FF7BE1A919F}" name="Volume (m3)" dataDxfId="111"/>
    <tableColumn id="26" xr3:uid="{A8686AED-71A4-445A-A20B-F62BA934E246}" name="Disposal Method" dataDxfId="110"/>
    <tableColumn id="27" xr3:uid="{E7934159-8E2E-4CF1-B8F7-138385DE732E}" name="Sump Type" dataDxfId="109"/>
    <tableColumn id="28" xr3:uid="{C621F69B-B34F-4571-B5D1-ABAC2D6A53AA}" name="Sump Location, If Remote" dataDxfId="108"/>
    <tableColumn id="29" xr3:uid="{8AB10A36-815E-4759-8987-73215E841CA8}" name="Disposal Location(s)" dataDxfId="107"/>
    <tableColumn id="30" xr3:uid="{4DB45F21-2AB8-4AC0-951D-3B11139AC915}" name="Contributing Wells and/or Pipelines" dataDxfId="106"/>
    <tableColumn id="31" xr3:uid="{812A7B84-1B62-4490-8DAE-0A4B03F4562A}" name="Drilling Waste Disposal -  [Select all that apply]" dataDxfId="105"/>
    <tableColumn id="32" xr3:uid="{E6E02958-86FE-4ED5-9B8C-BC0DDB4EE3C8}" name="Has this site been used for drilling waste disposal more than once?" dataDxfId="104"/>
    <tableColumn id="33" xr3:uid="{897F0C0D-D4FA-4054-824F-AB4492A8B0B0}" name="Are there any other drilling waste comments you wish to add?" dataDxfId="103"/>
    <tableColumn id="34" xr3:uid="{880EEF30-C7AE-4C9D-BA24-CD627204E9C0}" name="If yes, Provide details and location(s)" dataDxfId="102"/>
    <tableColumn id="41" xr3:uid="{47586191-C545-4B7C-984E-E945ED71A6E4}" name="Decribe all historical and/or current infrastructure associated with the location (e.g., tanks, pipeline, process skids, access roads, etc. [Click all that apply]" dataDxfId="101"/>
    <tableColumn id="88" xr3:uid="{F5B858F7-FB1D-42C4-BDAD-3A7FBC8C2A4C}" name="Were there any associated Flare Pits present during drilling or production?" dataDxfId="100"/>
    <tableColumn id="90" xr3:uid="{01C47A22-B57E-4BD3-9702-9A3C16302B2A}" name="The Flare Pits were used during:" dataDxfId="99"/>
    <tableColumn id="89" xr3:uid="{FA65B124-9988-4748-9900-0310C5378282}" name="Provide details and location" dataDxfId="98"/>
    <tableColumn id="42" xr3:uid="{4275B595-0B18-4F65-B5C0-FF23E04CF0E4}" name="Storage Tank _x000a_Above/Below" dataDxfId="97"/>
    <tableColumn id="43" xr3:uid="{A2565693-F0AB-4F6B-9493-D1D1C30894BE}" name="Type of Tank" dataDxfId="96"/>
    <tableColumn id="44" xr3:uid="{E34980AC-A088-47DD-8BD6-075B5485C3A3}" name="Content" dataDxfId="95"/>
    <tableColumn id="45" xr3:uid="{E97007D0-AA6F-4BBC-B390-92BD6CE14C48}" name="Capacity (m3)" dataDxfId="94"/>
    <tableColumn id="46" xr3:uid="{018F9EC8-2704-4486-97E9-5FA6CA26B28F}" name="Location" dataDxfId="93"/>
    <tableColumn id="47" xr3:uid="{AEC4DFB2-3DEC-4A3C-BAA7-960F17AC1224}" name="Were there any Underground Structures associated with the site?" dataDxfId="92"/>
    <tableColumn id="95" xr3:uid="{C505A217-6615-403F-8312-29BC22F220A6}" name="If yes, Identify type" dataDxfId="91"/>
    <tableColumn id="94" xr3:uid="{26EB3E46-2346-45D5-98B3-701A08A0AFFC}" name="If yes, Structure Status" dataDxfId="90"/>
    <tableColumn id="96" xr3:uid="{BB920350-9923-4EA0-B79C-C425E9F63F95}" name="Underground structure location" dataDxfId="89"/>
    <tableColumn id="93" xr3:uid="{AFE75AA7-4268-40BD-ADB2-42DDF6A82A28}" name="Type of Infrastructure" dataDxfId="88"/>
    <tableColumn id="92" xr3:uid="{D14EF5D4-38FC-448D-81C2-31348D6A6296}" name="Comments (Specific Infrastructure)" dataDxfId="87"/>
    <tableColumn id="91" xr3:uid="{EB5834DD-AAFD-4FFD-90AE-62A7A5979AEF}" name="Infrastructure Location" dataDxfId="86"/>
    <tableColumn id="51" xr3:uid="{613CB600-A923-4068-A491-55EBE122B7D3}" name="How was fluid at producing wells, disposal wells, and/or battery sites shipped to/from the location?" dataDxfId="85"/>
    <tableColumn id="52" xr3:uid="{3C5E6547-2B87-46F2-A0B1-42B7E7E6DC2C}" name="Have there been any spills, releases, and/or complaints associated with the site?" dataDxfId="84"/>
    <tableColumn id="97" xr3:uid="{22064AFF-285D-408D-8D15-393C4FBE9A60}" name="If Yes, date of spill" dataDxfId="83"/>
    <tableColumn id="101" xr3:uid="{A73ADDCC-4B4F-4F71-8D51-C03B9E407009}" name="Reference/Incident Number" dataDxfId="82"/>
    <tableColumn id="100" xr3:uid="{0908A841-882F-401D-8528-117B46D3D83C}" name="Type of Spill" dataDxfId="81"/>
    <tableColumn id="99" xr3:uid="{BFADC589-CC0E-4E78-8534-1CBF936A7439}" name="Product" dataDxfId="80"/>
    <tableColumn id="98" xr3:uid="{D76C75AF-02D9-4632-A0F7-2C46FFC2B48B}" name="Spill volume (m3)" dataDxfId="79"/>
    <tableColumn id="103" xr3:uid="{55821EF6-361B-4862-A54D-CCDF2469E5D0}" name="Recovered volume (m3)" dataDxfId="78"/>
    <tableColumn id="102" xr3:uid="{37B6D0C4-9864-4A69-AA76-85336165B74A}" name="Comments" dataDxfId="77"/>
    <tableColumn id="53" xr3:uid="{51E839EB-A273-4A01-B395-E53FFEE28677}" name="Were any other ESAs previously completed for this site?" dataDxfId="76"/>
    <tableColumn id="104" xr3:uid="{2E8F4F41-53C1-442B-A4B6-6622FF7BE1E2}" name="ESA Details" dataDxfId="75"/>
    <tableColumn id="54" xr3:uid="{410896E3-0E33-47B1-92AA-2B947D21D9B7}" name="Site Visit Date" dataDxfId="74"/>
    <tableColumn id="55" xr3:uid="{B7B3F8A4-A2CB-4774-B507-CB73DB80377F}" name="Assessor(s)" dataDxfId="73"/>
    <tableColumn id="56" xr3:uid="{2473C8EB-F65C-4BD2-A0AC-9C6CFB2019E8}" name="Was the site visit conducted with the landowner, land manager, and/or occupant present?" dataDxfId="72"/>
    <tableColumn id="57" xr3:uid="{3E7EF894-47A4-47C8-838A-276E765195C9}" name="North" dataDxfId="71"/>
    <tableColumn id="58" xr3:uid="{D21E4B01-ED40-4237-A17C-7488F27AE7EB}" name="South" dataDxfId="70"/>
    <tableColumn id="59" xr3:uid="{1B1BFC3C-3F77-47F2-8C69-E049F8CC1673}" name="East" dataDxfId="69"/>
    <tableColumn id="60" xr3:uid="{72B4A19B-F07F-4A37-8B47-27BFDA9C714D}" name="West" dataDxfId="68"/>
    <tableColumn id="61" xr3:uid="{344C198F-6316-4B43-BDD2-2B865F03A3C7}" name="Residence" dataDxfId="67"/>
    <tableColumn id="62" xr3:uid="{9503B85C-D695-4DDD-88A0-8B77C2ABF3C0}" name="Water Well" dataDxfId="66"/>
    <tableColumn id="63" xr3:uid="{0AE9F056-DFB0-4C08-9509-57CBD6C7AC92}" name="Surface Waterbody (e.g., dugout, stream, river)" dataDxfId="65"/>
    <tableColumn id="64" xr3:uid="{26836BE8-10A4-4EC6-A306-606FB665C75F}" name="Equipment and/or tanks were present, and/or there were visual signs of former facilities" dataDxfId="64"/>
    <tableColumn id="65" xr3:uid="{4870CBEE-4DBD-44BA-9F07-7FFBA8C46FD1}" name="If Yes, What was observed" dataDxfId="63"/>
    <tableColumn id="66" xr3:uid="{9A3E0D12-5045-4D87-90A4-9B5955485E09}" name="Visual signs of open, or potentially buried, earthen pits were observed" dataDxfId="62"/>
    <tableColumn id="67" xr3:uid="{460CCF51-3C73-4175-8DBC-408440DDC92E}" name="If Yes, What was observed?" dataDxfId="61"/>
    <tableColumn id="68" xr3:uid="{C0313ABC-2819-42EB-8C39-167B0187E637}" name="There was evidence of past spills (include cumulative releases, well centre impacts, staining, salt tolerant vegetation, etc" dataDxfId="60"/>
    <tableColumn id="105" xr3:uid="{0D028360-BFC9-4E3A-8A61-6677B3F0259E}" name="If Yes, what was observed  " dataDxfId="59"/>
    <tableColumn id="69" xr3:uid="{F1064C93-4326-46A6-9F3D-02E2F2F3FC72}" name="Adjacent land was affected by operations on the site" dataDxfId="58"/>
    <tableColumn id="106" xr3:uid="{43FF1EB3-2828-4821-84D2-12988374F43C}" name="If Yes, What was Observed?    " dataDxfId="57"/>
    <tableColumn id="70" xr3:uid="{80544BAC-731B-4175-89FC-A7D771C247A0}" name="Vegetation stress was apparent" dataDxfId="56"/>
    <tableColumn id="71" xr3:uid="{541EB2B3-A130-4E1C-9646-530193ACB851}" name="If yes,  What was observed" dataDxfId="55"/>
    <tableColumn id="72" xr3:uid="{60822B46-B3AC-4B6F-8A7E-D85F78C65212}" name="The site visit information conflicts with specific file or imagery review information" dataDxfId="54"/>
    <tableColumn id="107" xr3:uid="{8A733229-B9A6-40B2-AC7C-4B5829E80349}" name="If Yes,  What was observed?" dataDxfId="53"/>
    <tableColumn id="73" xr3:uid="{01F8C54D-C2E9-4A57-B9CD-5758BA6F3026}" name="Photo ID" dataDxfId="52"/>
    <tableColumn id="74" xr3:uid="{C6655B29-09BA-4BAD-8F40-9A5E68A05A92}" name="Aerial Photo date" dataDxfId="51"/>
    <tableColumn id="75" xr3:uid="{12DF1A92-2544-4AF8-931C-896EA6925F3F}" name="Aerial Photo Type" dataDxfId="50"/>
    <tableColumn id="77" xr3:uid="{687AEC09-B10E-4F4C-904C-346DA78B6110}" name="Aerial Photo Comments" dataDxfId="49"/>
    <tableColumn id="78" xr3:uid="{82D951B3-6A64-4778-B125-D911BB8D4D03}" name="Submitted (Y)" dataDxfId="48"/>
    <tableColumn id="79" xr3:uid="{EE3612D2-7525-4581-8B16-C75D536D4BD1}" name="Date of Phase 1 Professional Declaration" dataDxfId="47"/>
    <tableColumn id="80" xr3:uid="{5C6549F0-67E7-4AA6-96FE-80D4F817444C}" name="Company" dataDxfId="46"/>
    <tableColumn id="81" xr3:uid="{FBCF68C5-3B42-4384-A01F-3C244B078625}" name="Professional Name(s)" dataDxfId="45"/>
    <tableColumn id="82" xr3:uid="{9CD78816-AE1B-44E3-A2A9-8CEC8A771FBF}" name="Professional Designation(s) and Registration" dataDxfId="44"/>
    <tableColumn id="111" xr3:uid="{E8E8E145-CAFD-4982-9499-38B23FA8ED89}" name="Submitted (Y/N)" dataDxfId="43"/>
    <tableColumn id="110" xr3:uid="{B96200B2-AB4B-46F7-96D1-E6CDAF2A2914}" name="Date of Drilling Waste Professional Declaration" dataDxfId="42"/>
    <tableColumn id="109" xr3:uid="{AA9ED038-6899-46E1-84ED-4E082028CBE8}" name="Company   " dataDxfId="41"/>
    <tableColumn id="108" xr3:uid="{3491E465-3530-4DC9-BEFA-88969E11FA18}" name="Professional Name(s)   " dataDxfId="40"/>
    <tableColumn id="83" xr3:uid="{E09F3FA6-4895-4584-AB0D-7ADEC4895754}" name="Professional Designation(s) and Registration   " dataDxfId="39"/>
    <tableColumn id="84" xr3:uid="{887F6228-3498-4BE3-9D5C-0EC7572D6A4E}" name="Phase 1 ESA Completed Date" dataDxfId="38"/>
    <tableColumn id="85" xr3:uid="{66730B18-7720-461D-A9EE-BA43DA8C0880}" name="Result of Phase 1" dataDxfId="37"/>
    <tableColumn id="86" xr3:uid="{2A5B8322-DEEF-4067-B168-0BA0104006C5}" name="Additional Comments  " dataDxfId="36"/>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EAAB6BC-DB81-43DF-A03C-4C6E534EDCCF}" name="well_report" displayName="well_report" ref="A1:Y12" tableType="queryTable" totalsRowShown="0">
  <autoFilter ref="A1:Y12" xr:uid="{436CA221-7FBF-4FC9-B845-4E226180C8AC}"/>
  <tableColumns count="25">
    <tableColumn id="1" xr3:uid="{15CE355D-4DDD-4D34-8767-BEE1CDF96D8C}" uniqueName="1" name="Column1" queryTableFieldId="1" dataDxfId="35"/>
    <tableColumn id="2" xr3:uid="{BB510C6A-6BE9-47FC-838C-5DF8DD25F923}" uniqueName="2" name="Column2" queryTableFieldId="2" dataDxfId="34"/>
    <tableColumn id="3" xr3:uid="{5EDF3F2A-67D3-4550-AFBB-21330FD37E46}" uniqueName="3" name="Column3" queryTableFieldId="3" dataDxfId="33"/>
    <tableColumn id="4" xr3:uid="{8434923C-564F-4896-BEB5-930E806E0B82}" uniqueName="4" name="Column4" queryTableFieldId="4" dataDxfId="32"/>
    <tableColumn id="5" xr3:uid="{84D428D9-588A-4A44-AE78-36435897ECAA}" uniqueName="5" name="Column5" queryTableFieldId="5" dataDxfId="31"/>
    <tableColumn id="6" xr3:uid="{79E2A6B1-18DC-494E-AB45-6221DF2897E8}" uniqueName="6" name="Column6" queryTableFieldId="6" dataDxfId="30"/>
    <tableColumn id="7" xr3:uid="{0DC17B6F-10F4-43B9-8BC4-827E51B6762B}" uniqueName="7" name="Column7" queryTableFieldId="7" dataDxfId="29"/>
    <tableColumn id="8" xr3:uid="{0C6D218E-7F9D-4DA0-BEEB-B9D170DD022A}" uniqueName="8" name="Column8" queryTableFieldId="8" dataDxfId="28"/>
    <tableColumn id="9" xr3:uid="{06E92B7A-CE7C-43BB-801F-3AE36EC6C7DD}" uniqueName="9" name="Column9" queryTableFieldId="9" dataDxfId="27"/>
    <tableColumn id="10" xr3:uid="{C925D60C-9871-4ECA-BC72-70D32C552AB9}" uniqueName="10" name="Column10" queryTableFieldId="10" dataDxfId="26"/>
    <tableColumn id="11" xr3:uid="{2032BD24-0D72-426B-B119-833AFAD2943F}" uniqueName="11" name="Column11" queryTableFieldId="11" dataDxfId="25"/>
    <tableColumn id="12" xr3:uid="{EA2A0D4F-AFA3-4009-A631-FE4411349A4A}" uniqueName="12" name="Column12" queryTableFieldId="12" dataDxfId="24"/>
    <tableColumn id="13" xr3:uid="{296AF146-3066-476E-A305-40DC70DEB28C}" uniqueName="13" name="Column13" queryTableFieldId="13" dataDxfId="23"/>
    <tableColumn id="14" xr3:uid="{4AFAE3BC-0F47-40B1-B2F5-7D4625D76967}" uniqueName="14" name="Column14" queryTableFieldId="14" dataDxfId="22"/>
    <tableColumn id="15" xr3:uid="{04562788-12C9-493F-BE29-E4FB19595885}" uniqueName="15" name="Column15" queryTableFieldId="15" dataDxfId="21"/>
    <tableColumn id="16" xr3:uid="{2628B9A6-5258-4265-B99B-90400E4E058F}" uniqueName="16" name="Column16" queryTableFieldId="16" dataDxfId="20"/>
    <tableColumn id="17" xr3:uid="{6E0EC405-132A-4BE2-95C7-EEFF699DBA59}" uniqueName="17" name="Column17" queryTableFieldId="17" dataDxfId="19"/>
    <tableColumn id="18" xr3:uid="{2DB75F85-6BF6-49DE-B9A5-0CE50631ADB7}" uniqueName="18" name="Column18" queryTableFieldId="18" dataDxfId="18"/>
    <tableColumn id="19" xr3:uid="{72930E27-1E66-4625-B90C-2994EED0A9BA}" uniqueName="19" name="Column19" queryTableFieldId="19" dataDxfId="17"/>
    <tableColumn id="20" xr3:uid="{4F30A5B3-6179-48D1-9DDE-59ABCA7DD6F6}" uniqueName="20" name="Column20" queryTableFieldId="20" dataDxfId="16"/>
    <tableColumn id="21" xr3:uid="{4221AB38-731F-456C-8FBC-A927DCB53BEB}" uniqueName="21" name="Column21" queryTableFieldId="21" dataDxfId="15"/>
    <tableColumn id="22" xr3:uid="{4C50BDCB-3336-4FD4-A5C9-E096AD64A1D1}" uniqueName="22" name="Column22" queryTableFieldId="22" dataDxfId="14"/>
    <tableColumn id="23" xr3:uid="{5F5B8AF4-125F-4C7D-B691-902504117DB3}" uniqueName="23" name="Column23" queryTableFieldId="23" dataDxfId="13"/>
    <tableColumn id="24" xr3:uid="{CFED8827-9A09-4BB7-BE43-8EF761373964}" uniqueName="24" name="Column24" queryTableFieldId="24" dataDxfId="12"/>
    <tableColumn id="25" xr3:uid="{33BE3B9A-0269-47D6-B156-22CEACAA2048}" uniqueName="25" name="Column25" queryTableFieldId="25" dataDxfId="1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4609747-6900-488A-BF0B-BB096A3E030A}" name="annualProductionByLic_report" displayName="annualProductionByLic_report" ref="A1:K94" tableType="queryTable" totalsRowShown="0">
  <autoFilter ref="A1:K94" xr:uid="{EF40E06A-2473-4F06-B987-B85203E613E4}"/>
  <tableColumns count="11">
    <tableColumn id="1" xr3:uid="{F0A0A756-8E0D-4C09-B545-2FA1D2CA4C50}" uniqueName="1" name="Column1" queryTableFieldId="1" dataDxfId="10"/>
    <tableColumn id="2" xr3:uid="{207159B9-1E70-4A19-8D12-FE7E6D3B3F9C}" uniqueName="2" name="Column2" queryTableFieldId="2" dataDxfId="9"/>
    <tableColumn id="3" xr3:uid="{36A92212-54D0-40B7-BF8B-626B59D05F54}" uniqueName="3" name="Column3" queryTableFieldId="3" dataDxfId="8"/>
    <tableColumn id="4" xr3:uid="{88F97860-7257-4342-B933-4A2297CFED6D}" uniqueName="4" name="Column4" queryTableFieldId="4" dataDxfId="7"/>
    <tableColumn id="5" xr3:uid="{F8BBC43C-59C9-4B5B-8368-437BBC13C970}" uniqueName="5" name="Column5" queryTableFieldId="5" dataDxfId="6"/>
    <tableColumn id="6" xr3:uid="{6655072E-D002-45E8-A12C-FC6E99EAEE84}" uniqueName="6" name="Column6" queryTableFieldId="6" dataDxfId="5"/>
    <tableColumn id="7" xr3:uid="{E72E2797-7E73-42C3-94B6-F45C91B90B4A}" uniqueName="7" name="Column7" queryTableFieldId="7" dataDxfId="4"/>
    <tableColumn id="8" xr3:uid="{4E5D854A-D5B9-4765-B1E3-46C964116B6F}" uniqueName="8" name="Column8" queryTableFieldId="8" dataDxfId="3"/>
    <tableColumn id="9" xr3:uid="{E76E9585-1B82-4BF2-B28F-5A658A03B5C7}" uniqueName="9" name="Column9" queryTableFieldId="9" dataDxfId="2"/>
    <tableColumn id="10" xr3:uid="{2DEE2625-04F5-476D-A90D-903099D82ACC}" uniqueName="10" name="Column10" queryTableFieldId="10" dataDxfId="1"/>
    <tableColumn id="11" xr3:uid="{D05AB326-C869-404E-ACB1-86A4CDB0620E}" uniqueName="11" name="Column11" queryTableFieldId="11"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EDBC05-94C5-49F8-9119-E6DC43699C5B}" name="Table2" displayName="Table2" ref="B2:B6" totalsRowShown="0">
  <autoFilter ref="B2:B6" xr:uid="{4BCECA7B-2386-4F45-8D00-C9FADA78BBF4}"/>
  <tableColumns count="1">
    <tableColumn id="1" xr3:uid="{72AA67D7-3B98-4A6F-B121-5D4A456A6290}" name="Asset Type"/>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7706D29-1990-4744-B6DC-644D8327068D}" name="Table3" displayName="Table3" ref="D2:D5" totalsRowShown="0">
  <autoFilter ref="D2:D5" xr:uid="{3872C435-FB98-4DBB-92B2-F50124EA11B3}"/>
  <tableColumns count="1">
    <tableColumn id="1" xr3:uid="{1B29A334-3FF0-45CB-9AF1-87AD81C18EE7}" name="Asset Status"/>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7257219-7AF3-442A-891E-713B94B4F804}" name="Table4" displayName="Table4" ref="F2:F34" totalsRowShown="0">
  <autoFilter ref="F2:F34" xr:uid="{A405AE59-7B48-4BB8-B903-6E229AD8CBD1}"/>
  <sortState xmlns:xlrd2="http://schemas.microsoft.com/office/spreadsheetml/2017/richdata2" ref="F3:F34">
    <sortCondition ref="F2:F34"/>
  </sortState>
  <tableColumns count="1">
    <tableColumn id="1" xr3:uid="{32539822-FC27-4FD4-9A1B-77A1EDF5FE2C}" name="Activity Type"/>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D6C7AF5-E0A5-4A9D-85FD-CB3F5BE2869D}" name="Table6" displayName="Table6" ref="H2:H5" totalsRowShown="0">
  <autoFilter ref="H2:H5" xr:uid="{42054ED9-75D4-473E-9F02-E38500E8C50A}"/>
  <tableColumns count="1">
    <tableColumn id="1" xr3:uid="{C8C10945-FB94-41CC-99D6-488A4F53200D}" name="Response"/>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98770F8-1357-4511-B968-3DD61E837AC2}" name="Table9" displayName="Table9" ref="J2:J4" totalsRowShown="0">
  <autoFilter ref="J2:J4" xr:uid="{B8DA7693-B225-4819-9D61-9F22B5842E5C}"/>
  <tableColumns count="1">
    <tableColumn id="1" xr3:uid="{D0ADC1D3-2066-4781-8474-28D23A500B96}" name="Response2"/>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AADE232-233B-4382-9A93-764E08D99D93}" name="Table14" displayName="Table14" ref="N2:N8" totalsRowShown="0">
  <autoFilter ref="N2:N8" xr:uid="{3886E146-DEE3-4973-8B94-E3CE81D93821}"/>
  <sortState xmlns:xlrd2="http://schemas.microsoft.com/office/spreadsheetml/2017/richdata2" ref="N3:N8">
    <sortCondition ref="N2:N8"/>
  </sortState>
  <tableColumns count="1">
    <tableColumn id="1" xr3:uid="{5E6F3669-7111-4BEF-90CE-4DDD880AF556}" name="Facility Types"/>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EFF639D-9DB4-4C2C-BA04-C094DADCF1E1}" name="Table15" displayName="Table15" ref="L2:L5" totalsRowShown="0">
  <autoFilter ref="L2:L5" xr:uid="{C882AD06-6024-4742-A982-B1B1058B9800}"/>
  <tableColumns count="1">
    <tableColumn id="1" xr3:uid="{10585F7D-8646-4105-862E-484398294850}" name="Response3"/>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C8320AD-EF4B-489E-A09F-A5B8F4D61457}" name="Table19" displayName="Table19" ref="P2:P5" totalsRowShown="0">
  <autoFilter ref="P2:P5" xr:uid="{C1C831DE-6868-460E-84E3-B65B407E6D25}"/>
  <tableColumns count="1">
    <tableColumn id="1" xr3:uid="{33A9D938-7B06-4D5C-A7A8-14570C8587C0}" name="Aerial Type"/>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A95A0C-F2FB-4B03-A0B1-8445B3300B9A}" name="Table11" displayName="Table11" ref="R2:R5" totalsRowShown="0">
  <autoFilter ref="R2:R5" xr:uid="{969E1B36-FE56-43CA-979A-7E2517D069F4}"/>
  <tableColumns count="1">
    <tableColumn id="1" xr3:uid="{DC23E968-1DE3-48E5-97E2-BB083C477558}" name="List all that apply"/>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1B5BFC8-B451-4130-960A-4378EFDF565C}" name="Table22" displayName="Table22" ref="T2:T13" totalsRowShown="0">
  <autoFilter ref="T2:T13" xr:uid="{78BE1B9B-34D1-484A-A010-CB0080000F32}"/>
  <sortState xmlns:xlrd2="http://schemas.microsoft.com/office/spreadsheetml/2017/richdata2" ref="T3:T12">
    <sortCondition ref="T2:T12"/>
  </sortState>
  <tableColumns count="1">
    <tableColumn id="1" xr3:uid="{71832856-FA44-4570-83B5-34FB57071957}" name="Site Info - P&amp;S"/>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D94EE5B-0A87-45C3-B2D4-C0C146B4450F}" name="Table12" displayName="Table12" ref="V2:V7" totalsRowShown="0">
  <autoFilter ref="V2:V7" xr:uid="{4FA96367-CEAB-4B54-9B13-A21B05BBDF8B}"/>
  <tableColumns count="1">
    <tableColumn id="1" xr3:uid="{1EFC8E67-850E-48E0-B3D8-8E841C31E4E6}" name="Fluid Disposal"/>
  </tableColumns>
  <tableStyleInfo name="TableStyleMedium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88DA585-3117-4098-B116-F2A3E5A3D171}" name="Table17" displayName="Table17" ref="X2:X8" totalsRowShown="0">
  <autoFilter ref="X2:X8" xr:uid="{3D9CA9E9-1814-4BBB-9A78-6F1C81F529B1}"/>
  <tableColumns count="1">
    <tableColumn id="1" xr3:uid="{3A21F9A2-34FB-41F8-8DD1-E30EC8CC1E1F}" name="Stakeholder Type"/>
  </tableColumns>
  <tableStyleInfo name="TableStyleMedium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29DCF9A-3328-4466-B2C4-9CEE14467FA7}" name="Table18" displayName="Table18" ref="Z2:Z6" totalsRowShown="0">
  <autoFilter ref="Z2:Z6" xr:uid="{B994F4CB-5615-4E6B-81EB-34CBA8C12AC5}"/>
  <tableColumns count="1">
    <tableColumn id="1" xr3:uid="{7BFC3C98-6920-45D1-8DF7-D49DE07689D6}" name="Drilling Type"/>
  </tableColumns>
  <tableStyleInfo name="TableStyleMedium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E24B942-1C37-4E9A-A15C-D1538C8E1CA0}" name="Table20" displayName="Table20" ref="AB2:AB12" totalsRowShown="0">
  <autoFilter ref="AB2:AB12" xr:uid="{F18A458E-960E-4CDB-9BEA-637D2D5AF725}"/>
  <tableColumns count="1">
    <tableColumn id="1" xr3:uid="{7278B1AA-6516-49BE-B096-00CC69873D2C}" name="Disposal Method"/>
  </tableColumns>
  <tableStyleInfo name="TableStyleMedium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F178416-3628-459B-AFC0-5CCE0F51DC35}" name="Table21" displayName="Table21" ref="AD2:AD6" totalsRowShown="0">
  <autoFilter ref="AD2:AD6" xr:uid="{B7EC1112-B23C-4830-9B6A-79A7F7F9C1A5}"/>
  <tableColumns count="1">
    <tableColumn id="1" xr3:uid="{A80294FB-3E6D-4616-AF48-27EF47688FD6}" name="Sump Type"/>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A21218-6296-46E3-9454-193341D1B2FE}" name="Table23" displayName="Table23" ref="AF2:AF5" totalsRowShown="0">
  <autoFilter ref="AF2:AF5" xr:uid="{69B0EC8C-6808-4AC3-8552-980E1DCEB25D}"/>
  <tableColumns count="1">
    <tableColumn id="1" xr3:uid="{59FB1FA9-B695-48CF-9137-68C08A06F8AC}" name="Flare Pits"/>
  </tableColumns>
  <tableStyleInfo name="TableStyleMedium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9ED52B7-915B-476B-8F4D-B9491D7FEADE}" name="Table24" displayName="Table24" ref="AH2:AH4" totalsRowShown="0">
  <autoFilter ref="AH2:AH4" xr:uid="{33B4B43F-15DE-4A38-8E3B-10C823C1D81E}"/>
  <tableColumns count="1">
    <tableColumn id="1" xr3:uid="{FB890970-92B9-4304-BC09-23549F1BC4BC}" name="Above Below"/>
  </tableColumns>
  <tableStyleInfo name="TableStyleMedium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663DA597-C8F7-4D28-91EC-88AB1A9AF5C3}" name="Table25" displayName="Table25" ref="AJ2:AJ4" totalsRowShown="0">
  <autoFilter ref="AJ2:AJ4" xr:uid="{EEB6CF24-01AA-4898-9C75-C8F2C40EFFF7}"/>
  <tableColumns count="1">
    <tableColumn id="1" xr3:uid="{74F29504-CE5F-4B02-922C-22C6D62E78B5}" name="Structure Status"/>
  </tableColumns>
  <tableStyleInfo name="TableStyleMedium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CE9D64B-8374-4EDF-B349-E9B99BD31F27}" name="Table26" displayName="Table26" ref="AL2:AL8" totalsRowShown="0">
  <autoFilter ref="AL2:AL8" xr:uid="{BEF68834-EF2A-4182-8049-FAB374974954}"/>
  <tableColumns count="1">
    <tableColumn id="1" xr3:uid="{2FC1A903-B220-4FE9-AD95-CDA32445E4C0}" name="Surrounding Land Use"/>
  </tableColumns>
  <tableStyleInfo name="TableStyleMedium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776DFF1F-53AD-499F-9999-F0236640F270}" name="Table27" displayName="Table27" ref="AN2:AN7" totalsRowShown="0">
  <autoFilter ref="AN2:AN7" xr:uid="{2C90E7A9-95D5-4A68-9AA3-E0B3B6924999}"/>
  <tableColumns count="1">
    <tableColumn id="1" xr3:uid="{D58922F4-8741-4A07-901C-7A39D5AD6547}" name="Surrounding Land Use2"/>
  </tableColumns>
  <tableStyleInfo name="TableStyleMedium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E5C355A-80D8-4AC5-9531-7E921948BA4C}" name="Table28" displayName="Table28" ref="AP2:AP5" totalsRowShown="0">
  <autoFilter ref="AP2:AP5" xr:uid="{97EF235F-1F3B-4469-92A2-079351FBD5FD}"/>
  <tableColumns count="1">
    <tableColumn id="1" xr3:uid="{5FFEC1E5-861F-48E6-8544-57BEFC74A909}" name="P1 result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0.bin"/><Relationship Id="rId5" Type="http://schemas.openxmlformats.org/officeDocument/2006/relationships/image" Target="../media/image6.wmf"/><Relationship Id="rId4" Type="http://schemas.openxmlformats.org/officeDocument/2006/relationships/oleObject" Target="../embeddings/oleObject1.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18" Type="http://schemas.openxmlformats.org/officeDocument/2006/relationships/table" Target="../tables/table21.xml"/><Relationship Id="rId3" Type="http://schemas.openxmlformats.org/officeDocument/2006/relationships/table" Target="../tables/table6.xml"/><Relationship Id="rId21" Type="http://schemas.openxmlformats.org/officeDocument/2006/relationships/table" Target="../tables/table24.xml"/><Relationship Id="rId7" Type="http://schemas.openxmlformats.org/officeDocument/2006/relationships/table" Target="../tables/table10.xml"/><Relationship Id="rId12" Type="http://schemas.openxmlformats.org/officeDocument/2006/relationships/table" Target="../tables/table15.xml"/><Relationship Id="rId17" Type="http://schemas.openxmlformats.org/officeDocument/2006/relationships/table" Target="../tables/table20.xml"/><Relationship Id="rId2" Type="http://schemas.openxmlformats.org/officeDocument/2006/relationships/table" Target="../tables/table5.xml"/><Relationship Id="rId16" Type="http://schemas.openxmlformats.org/officeDocument/2006/relationships/table" Target="../tables/table19.xml"/><Relationship Id="rId20" Type="http://schemas.openxmlformats.org/officeDocument/2006/relationships/table" Target="../tables/table23.xml"/><Relationship Id="rId1" Type="http://schemas.openxmlformats.org/officeDocument/2006/relationships/table" Target="../tables/table4.xml"/><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19" Type="http://schemas.openxmlformats.org/officeDocument/2006/relationships/table" Target="../tables/table22.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70C27-531B-4C32-B65B-78F235FCBAED}">
  <sheetPr codeName="Sheet5">
    <tabColor theme="0"/>
  </sheetPr>
  <dimension ref="B2:T51"/>
  <sheetViews>
    <sheetView showGridLines="0" topLeftCell="A23" workbookViewId="0">
      <selection activeCell="G57" sqref="G57"/>
    </sheetView>
  </sheetViews>
  <sheetFormatPr defaultRowHeight="14.4" x14ac:dyDescent="0.3"/>
  <sheetData>
    <row r="2" spans="2:2" x14ac:dyDescent="0.3">
      <c r="B2" t="s">
        <v>494</v>
      </c>
    </row>
    <row r="3" spans="2:2" x14ac:dyDescent="0.3">
      <c r="B3" t="s">
        <v>497</v>
      </c>
    </row>
    <row r="4" spans="2:2" x14ac:dyDescent="0.3">
      <c r="B4" t="s">
        <v>498</v>
      </c>
    </row>
    <row r="5" spans="2:2" x14ac:dyDescent="0.3">
      <c r="B5" t="s">
        <v>499</v>
      </c>
    </row>
    <row r="6" spans="2:2" x14ac:dyDescent="0.3">
      <c r="B6" t="s">
        <v>500</v>
      </c>
    </row>
    <row r="8" spans="2:2" x14ac:dyDescent="0.3">
      <c r="B8" t="s">
        <v>495</v>
      </c>
    </row>
    <row r="9" spans="2:2" x14ac:dyDescent="0.3">
      <c r="B9" t="s">
        <v>496</v>
      </c>
    </row>
    <row r="35" spans="2:20" x14ac:dyDescent="0.3">
      <c r="B35" s="240" t="s">
        <v>2643</v>
      </c>
    </row>
    <row r="36" spans="2:20" x14ac:dyDescent="0.3">
      <c r="B36" s="368"/>
      <c r="C36" t="s">
        <v>2645</v>
      </c>
    </row>
    <row r="37" spans="2:20" x14ac:dyDescent="0.3">
      <c r="B37" s="367"/>
      <c r="C37" t="s">
        <v>2649</v>
      </c>
    </row>
    <row r="38" spans="2:20" x14ac:dyDescent="0.3">
      <c r="B38" s="369"/>
      <c r="C38" t="s">
        <v>2646</v>
      </c>
    </row>
    <row r="39" spans="2:20" x14ac:dyDescent="0.3">
      <c r="B39" s="366"/>
      <c r="C39" t="s">
        <v>2647</v>
      </c>
    </row>
    <row r="40" spans="2:20" x14ac:dyDescent="0.3">
      <c r="B40" s="372"/>
    </row>
    <row r="41" spans="2:20" x14ac:dyDescent="0.3">
      <c r="B41" s="240" t="s">
        <v>2648</v>
      </c>
    </row>
    <row r="42" spans="2:20" x14ac:dyDescent="0.3">
      <c r="B42" t="s">
        <v>2644</v>
      </c>
    </row>
    <row r="43" spans="2:20" ht="15" customHeight="1" x14ac:dyDescent="0.3">
      <c r="B43" s="374"/>
      <c r="C43" s="377" t="s">
        <v>2650</v>
      </c>
      <c r="D43" s="377"/>
      <c r="E43" s="377"/>
      <c r="F43" s="377"/>
      <c r="G43" s="377"/>
      <c r="H43" s="377"/>
      <c r="I43" s="377"/>
      <c r="J43" s="377"/>
      <c r="K43" s="377"/>
      <c r="L43" s="377"/>
      <c r="M43" s="377"/>
      <c r="N43" s="377"/>
      <c r="O43" s="377"/>
      <c r="P43" s="377"/>
      <c r="Q43" s="377"/>
      <c r="R43" s="377"/>
      <c r="S43" s="377"/>
      <c r="T43" s="371"/>
    </row>
    <row r="44" spans="2:20" x14ac:dyDescent="0.3">
      <c r="B44" s="375"/>
      <c r="C44" s="377"/>
      <c r="D44" s="377"/>
      <c r="E44" s="377"/>
      <c r="F44" s="377"/>
      <c r="G44" s="377"/>
      <c r="H44" s="377"/>
      <c r="I44" s="377"/>
      <c r="J44" s="377"/>
      <c r="K44" s="377"/>
      <c r="L44" s="377"/>
      <c r="M44" s="377"/>
      <c r="N44" s="377"/>
      <c r="O44" s="377"/>
      <c r="P44" s="377"/>
      <c r="Q44" s="377"/>
      <c r="R44" s="377"/>
      <c r="S44" s="377"/>
      <c r="T44" s="371"/>
    </row>
    <row r="45" spans="2:20" x14ac:dyDescent="0.3">
      <c r="B45" s="375"/>
      <c r="C45" s="377"/>
      <c r="D45" s="377"/>
      <c r="E45" s="377"/>
      <c r="F45" s="377"/>
      <c r="G45" s="377"/>
      <c r="H45" s="377"/>
      <c r="I45" s="377"/>
      <c r="J45" s="377"/>
      <c r="K45" s="377"/>
      <c r="L45" s="377"/>
      <c r="M45" s="377"/>
      <c r="N45" s="377"/>
      <c r="O45" s="377"/>
      <c r="P45" s="377"/>
      <c r="Q45" s="377"/>
      <c r="R45" s="377"/>
      <c r="S45" s="377"/>
      <c r="T45" s="371"/>
    </row>
    <row r="46" spans="2:20" ht="33.75" customHeight="1" x14ac:dyDescent="0.3">
      <c r="B46" s="376"/>
      <c r="C46" s="377" t="s">
        <v>2651</v>
      </c>
      <c r="D46" s="377"/>
      <c r="E46" s="377"/>
      <c r="F46" s="377"/>
      <c r="G46" s="377"/>
      <c r="H46" s="377"/>
      <c r="I46" s="377"/>
      <c r="J46" s="377"/>
      <c r="K46" s="377"/>
      <c r="L46" s="377"/>
      <c r="M46" s="377"/>
      <c r="N46" s="377"/>
      <c r="O46" s="377"/>
      <c r="P46" s="377"/>
      <c r="Q46" s="377"/>
      <c r="R46" s="377"/>
      <c r="S46" s="370"/>
      <c r="T46" s="371"/>
    </row>
    <row r="47" spans="2:20" ht="15.75" customHeight="1" x14ac:dyDescent="0.3">
      <c r="B47" s="367"/>
      <c r="C47" s="377" t="s">
        <v>2652</v>
      </c>
      <c r="D47" s="377"/>
      <c r="E47" s="377"/>
      <c r="F47" s="377"/>
      <c r="G47" s="377"/>
      <c r="H47" s="377"/>
      <c r="I47" s="377"/>
      <c r="J47" s="377"/>
      <c r="K47" s="377"/>
      <c r="L47" s="377"/>
      <c r="M47" s="377"/>
      <c r="N47" s="377"/>
      <c r="O47" s="377"/>
      <c r="P47" s="377"/>
      <c r="Q47" s="377"/>
      <c r="R47" s="377"/>
      <c r="S47" s="377"/>
      <c r="T47" s="371"/>
    </row>
    <row r="48" spans="2:20" x14ac:dyDescent="0.3">
      <c r="C48" s="377"/>
      <c r="D48" s="377"/>
      <c r="E48" s="377"/>
      <c r="F48" s="377"/>
      <c r="G48" s="377"/>
      <c r="H48" s="377"/>
      <c r="I48" s="377"/>
      <c r="J48" s="377"/>
      <c r="K48" s="377"/>
      <c r="L48" s="377"/>
      <c r="M48" s="377"/>
      <c r="N48" s="377"/>
      <c r="O48" s="377"/>
      <c r="P48" s="377"/>
      <c r="Q48" s="377"/>
      <c r="R48" s="377"/>
      <c r="S48" s="377"/>
      <c r="T48" s="371"/>
    </row>
    <row r="49" spans="3:20" ht="4.5" customHeight="1" x14ac:dyDescent="0.3">
      <c r="C49" s="377"/>
      <c r="D49" s="377"/>
      <c r="E49" s="377"/>
      <c r="F49" s="377"/>
      <c r="G49" s="377"/>
      <c r="H49" s="377"/>
      <c r="I49" s="377"/>
      <c r="J49" s="377"/>
      <c r="K49" s="377"/>
      <c r="L49" s="377"/>
      <c r="M49" s="377"/>
      <c r="N49" s="377"/>
      <c r="O49" s="377"/>
      <c r="P49" s="377"/>
      <c r="Q49" s="377"/>
      <c r="R49" s="377"/>
      <c r="S49" s="377"/>
      <c r="T49" s="371"/>
    </row>
    <row r="50" spans="3:20" x14ac:dyDescent="0.3">
      <c r="C50" s="377"/>
      <c r="D50" s="377"/>
      <c r="E50" s="377"/>
      <c r="F50" s="377"/>
      <c r="G50" s="377"/>
      <c r="H50" s="377"/>
      <c r="I50" s="377"/>
      <c r="J50" s="377"/>
      <c r="K50" s="377"/>
      <c r="L50" s="377"/>
      <c r="M50" s="377"/>
      <c r="N50" s="377"/>
      <c r="O50" s="377"/>
      <c r="P50" s="377"/>
      <c r="Q50" s="377"/>
      <c r="R50" s="377"/>
      <c r="S50" s="377"/>
    </row>
    <row r="51" spans="3:20" x14ac:dyDescent="0.3">
      <c r="C51" s="373"/>
    </row>
  </sheetData>
  <mergeCells count="4">
    <mergeCell ref="B43:B46"/>
    <mergeCell ref="C46:R46"/>
    <mergeCell ref="C43:S45"/>
    <mergeCell ref="C47:S50"/>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578D6-7811-4AF4-A6F8-1F573AB3F8AD}">
  <sheetPr codeName="Sheet1">
    <tabColor theme="9" tint="0.39997558519241921"/>
  </sheetPr>
  <dimension ref="B1:CX28"/>
  <sheetViews>
    <sheetView showGridLines="0" zoomScaleNormal="100" workbookViewId="0">
      <pane xSplit="2" ySplit="4" topLeftCell="C5" activePane="bottomRight" state="frozen"/>
      <selection activeCell="C9" sqref="C9"/>
      <selection pane="topRight" activeCell="C9" sqref="C9"/>
      <selection pane="bottomLeft" activeCell="C9" sqref="C9"/>
      <selection pane="bottomRight" activeCell="B5" sqref="B5"/>
    </sheetView>
  </sheetViews>
  <sheetFormatPr defaultRowHeight="14.4" x14ac:dyDescent="0.3"/>
  <cols>
    <col min="1" max="1" width="3.33203125" customWidth="1"/>
    <col min="2" max="2" width="20.6640625" customWidth="1"/>
    <col min="3" max="3" width="34.88671875" bestFit="1" customWidth="1"/>
    <col min="4" max="5" width="20.6640625" customWidth="1"/>
    <col min="6" max="6" width="30.109375" bestFit="1" customWidth="1"/>
    <col min="7" max="7" width="28.33203125" bestFit="1" customWidth="1"/>
    <col min="8" max="9" width="20.6640625" customWidth="1"/>
    <col min="10" max="10" width="30.6640625" style="3" customWidth="1"/>
    <col min="11" max="11" width="23.44140625" customWidth="1"/>
    <col min="12" max="12" width="20.6640625" customWidth="1"/>
    <col min="13" max="13" width="16.33203125" customWidth="1"/>
    <col min="14" max="17" width="20.6640625" customWidth="1"/>
    <col min="18" max="18" width="33.5546875" customWidth="1"/>
    <col min="19" max="19" width="40.6640625" customWidth="1"/>
    <col min="20" max="20" width="34.88671875" bestFit="1" customWidth="1"/>
    <col min="21" max="22" width="20.6640625" customWidth="1"/>
    <col min="23" max="25" width="12.6640625" customWidth="1"/>
    <col min="26" max="26" width="20.6640625" customWidth="1"/>
    <col min="27" max="27" width="35.109375" bestFit="1" customWidth="1"/>
    <col min="28" max="32" width="20.6640625" customWidth="1"/>
    <col min="33" max="33" width="33.44140625" customWidth="1"/>
    <col min="34" max="34" width="12.6640625" customWidth="1"/>
    <col min="35" max="35" width="29.88671875" customWidth="1"/>
    <col min="36" max="36" width="40.6640625" customWidth="1"/>
    <col min="37" max="37" width="54.44140625" customWidth="1"/>
    <col min="38" max="41" width="20.6640625" customWidth="1"/>
    <col min="42" max="42" width="18.33203125" customWidth="1"/>
    <col min="43" max="43" width="12.6640625" customWidth="1"/>
    <col min="44" max="44" width="17.33203125" bestFit="1" customWidth="1"/>
    <col min="45" max="45" width="12.6640625" customWidth="1"/>
    <col min="46" max="46" width="16.33203125" bestFit="1" customWidth="1"/>
    <col min="47" max="47" width="14.33203125" customWidth="1"/>
    <col min="48" max="49" width="12.6640625" customWidth="1"/>
    <col min="50" max="50" width="28" customWidth="1"/>
    <col min="51" max="51" width="25.6640625" customWidth="1"/>
    <col min="52" max="52" width="18.6640625" bestFit="1" customWidth="1"/>
    <col min="53" max="59" width="25.6640625" customWidth="1"/>
    <col min="60" max="60" width="25.88671875" customWidth="1"/>
    <col min="61" max="61" width="30.6640625" customWidth="1"/>
    <col min="62" max="62" width="24.33203125" customWidth="1"/>
    <col min="63" max="63" width="30.6640625" customWidth="1"/>
    <col min="64" max="64" width="20.88671875" customWidth="1"/>
    <col min="65" max="65" width="24.33203125" customWidth="1"/>
    <col min="66" max="72" width="15.6640625" customWidth="1"/>
    <col min="73" max="73" width="30.6640625" customWidth="1"/>
    <col min="74" max="74" width="19.44140625" customWidth="1"/>
    <col min="75" max="75" width="29.6640625" customWidth="1"/>
    <col min="76" max="76" width="19.44140625" customWidth="1"/>
    <col min="77" max="77" width="29.6640625" customWidth="1"/>
    <col min="78" max="78" width="23.44140625" bestFit="1" customWidth="1"/>
    <col min="79" max="79" width="29.6640625" customWidth="1"/>
    <col min="80" max="80" width="15.6640625" customWidth="1"/>
    <col min="81" max="81" width="29.6640625" customWidth="1"/>
    <col min="82" max="82" width="17" customWidth="1"/>
    <col min="83" max="83" width="29.6640625" customWidth="1"/>
    <col min="84" max="84" width="22.33203125" customWidth="1"/>
    <col min="85" max="85" width="29.6640625" customWidth="1"/>
    <col min="86" max="90" width="25.6640625" customWidth="1"/>
    <col min="91" max="91" width="20.6640625" customWidth="1"/>
    <col min="92" max="95" width="25.6640625" customWidth="1"/>
    <col min="96" max="96" width="20.6640625" customWidth="1"/>
    <col min="97" max="98" width="25.6640625" customWidth="1"/>
    <col min="99" max="99" width="15.6640625" customWidth="1"/>
    <col min="100" max="100" width="20.6640625" customWidth="1"/>
    <col min="101" max="101" width="40.5546875" customWidth="1"/>
    <col min="102" max="102" width="29.6640625" customWidth="1"/>
  </cols>
  <sheetData>
    <row r="1" spans="2:102" ht="16.2" thickBot="1" x14ac:dyDescent="0.35">
      <c r="C1" s="136" t="s">
        <v>413</v>
      </c>
      <c r="CE1" s="1"/>
      <c r="CF1" s="1"/>
      <c r="CG1" s="1"/>
      <c r="CH1" s="1"/>
      <c r="CI1" s="1"/>
      <c r="CJ1" s="1"/>
    </row>
    <row r="2" spans="2:102" ht="24" thickBot="1" x14ac:dyDescent="0.5">
      <c r="B2" s="62" t="s">
        <v>0</v>
      </c>
      <c r="C2" s="63"/>
      <c r="D2" s="63"/>
      <c r="E2" s="63"/>
      <c r="F2" s="63"/>
      <c r="G2" s="63"/>
      <c r="H2" s="63"/>
      <c r="I2" s="63"/>
      <c r="J2" s="125"/>
      <c r="K2" s="63"/>
      <c r="L2" s="63"/>
      <c r="M2" s="54" t="s">
        <v>21</v>
      </c>
      <c r="N2" s="55"/>
      <c r="O2" s="55"/>
      <c r="P2" s="55"/>
      <c r="Q2" s="55"/>
      <c r="R2" s="55"/>
      <c r="S2" s="56"/>
      <c r="T2" s="42" t="s">
        <v>28</v>
      </c>
      <c r="U2" s="43"/>
      <c r="V2" s="43"/>
      <c r="W2" s="43"/>
      <c r="X2" s="43"/>
      <c r="Y2" s="44"/>
      <c r="Z2" s="42" t="s">
        <v>36</v>
      </c>
      <c r="AA2" s="43"/>
      <c r="AB2" s="43"/>
      <c r="AC2" s="43"/>
      <c r="AD2" s="43"/>
      <c r="AE2" s="43"/>
      <c r="AF2" s="43"/>
      <c r="AG2" s="43"/>
      <c r="AH2" s="43"/>
      <c r="AI2" s="43"/>
      <c r="AJ2" s="44"/>
      <c r="AK2" s="31" t="s">
        <v>49</v>
      </c>
      <c r="AL2" s="32"/>
      <c r="AM2" s="32"/>
      <c r="AN2" s="32"/>
      <c r="AO2" s="32"/>
      <c r="AP2" s="32"/>
      <c r="AQ2" s="32"/>
      <c r="AR2" s="32"/>
      <c r="AS2" s="32"/>
      <c r="AT2" s="32"/>
      <c r="AU2" s="32"/>
      <c r="AV2" s="32"/>
      <c r="AW2" s="32"/>
      <c r="AX2" s="32"/>
      <c r="AY2" s="32"/>
      <c r="AZ2" s="32"/>
      <c r="BA2" s="33"/>
      <c r="BB2" s="29" t="s">
        <v>68</v>
      </c>
      <c r="BC2" s="30"/>
      <c r="BD2" s="117"/>
      <c r="BE2" s="117"/>
      <c r="BF2" s="117"/>
      <c r="BG2" s="117"/>
      <c r="BH2" s="117"/>
      <c r="BI2" s="117"/>
      <c r="BJ2" s="117"/>
      <c r="BK2" s="30"/>
      <c r="BL2" s="16" t="s">
        <v>74</v>
      </c>
      <c r="BM2" s="17"/>
      <c r="BN2" s="17"/>
      <c r="BO2" s="17"/>
      <c r="BP2" s="17"/>
      <c r="BQ2" s="17"/>
      <c r="BR2" s="17"/>
      <c r="BS2" s="17"/>
      <c r="BT2" s="17"/>
      <c r="BU2" s="17"/>
      <c r="BV2" s="17"/>
      <c r="BW2" s="17"/>
      <c r="BX2" s="17"/>
      <c r="BY2" s="17"/>
      <c r="BZ2" s="17"/>
      <c r="CA2" s="17"/>
      <c r="CB2" s="17"/>
      <c r="CC2" s="17"/>
      <c r="CD2" s="17"/>
      <c r="CE2" s="17"/>
      <c r="CF2" s="17"/>
      <c r="CG2" s="18"/>
      <c r="CH2" s="11" t="s">
        <v>93</v>
      </c>
      <c r="CI2" s="12"/>
      <c r="CJ2" s="12"/>
      <c r="CK2" s="12"/>
      <c r="CL2" s="13" t="s">
        <v>98</v>
      </c>
      <c r="CM2" s="14"/>
      <c r="CN2" s="14"/>
      <c r="CO2" s="14"/>
      <c r="CP2" s="14"/>
      <c r="CQ2" s="14"/>
      <c r="CR2" s="14"/>
      <c r="CS2" s="14"/>
      <c r="CT2" s="14"/>
      <c r="CU2" s="14"/>
      <c r="CV2" s="14"/>
      <c r="CW2" s="14"/>
      <c r="CX2" s="15"/>
    </row>
    <row r="3" spans="2:102" ht="18.600000000000001" thickBot="1" x14ac:dyDescent="0.4">
      <c r="B3" s="64" t="s">
        <v>5</v>
      </c>
      <c r="C3" s="65"/>
      <c r="D3" s="65"/>
      <c r="E3" s="65"/>
      <c r="F3" s="65"/>
      <c r="G3" s="65"/>
      <c r="H3" s="65"/>
      <c r="I3" s="60" t="s">
        <v>6</v>
      </c>
      <c r="J3" s="126"/>
      <c r="K3" s="61"/>
      <c r="L3" s="128" t="s">
        <v>489</v>
      </c>
      <c r="M3" s="57" t="s">
        <v>22</v>
      </c>
      <c r="N3" s="58"/>
      <c r="O3" s="58"/>
      <c r="P3" s="58"/>
      <c r="Q3" s="58"/>
      <c r="R3" s="58"/>
      <c r="S3" s="59"/>
      <c r="T3" s="51" t="s">
        <v>28</v>
      </c>
      <c r="U3" s="52"/>
      <c r="V3" s="52"/>
      <c r="W3" s="52"/>
      <c r="X3" s="52"/>
      <c r="Y3" s="53"/>
      <c r="Z3" s="48" t="s">
        <v>37</v>
      </c>
      <c r="AA3" s="49"/>
      <c r="AB3" s="50"/>
      <c r="AC3" s="45" t="s">
        <v>40</v>
      </c>
      <c r="AD3" s="46"/>
      <c r="AE3" s="46"/>
      <c r="AF3" s="47"/>
      <c r="AG3" s="39" t="s">
        <v>45</v>
      </c>
      <c r="AH3" s="40"/>
      <c r="AI3" s="40"/>
      <c r="AJ3" s="41"/>
      <c r="AK3" s="38" t="s">
        <v>50</v>
      </c>
      <c r="AL3" s="36" t="s">
        <v>51</v>
      </c>
      <c r="AM3" s="37"/>
      <c r="AN3" s="37"/>
      <c r="AO3" s="37"/>
      <c r="AP3" s="37"/>
      <c r="AQ3" s="37"/>
      <c r="AR3" s="37"/>
      <c r="AS3" s="37"/>
      <c r="AT3" s="37"/>
      <c r="AU3" s="37"/>
      <c r="AV3" s="37"/>
      <c r="AW3" s="37"/>
      <c r="AX3" s="34" t="s">
        <v>56</v>
      </c>
      <c r="AY3" s="35"/>
      <c r="AZ3" s="35"/>
      <c r="BA3" s="114" t="s">
        <v>66</v>
      </c>
      <c r="BB3" s="27" t="s">
        <v>69</v>
      </c>
      <c r="BC3" s="116"/>
      <c r="BD3" s="116"/>
      <c r="BE3" s="116"/>
      <c r="BF3" s="116"/>
      <c r="BG3" s="116"/>
      <c r="BH3" s="116"/>
      <c r="BI3" s="116"/>
      <c r="BJ3" s="116"/>
      <c r="BK3" s="28"/>
      <c r="BL3" s="115" t="s">
        <v>75</v>
      </c>
      <c r="BM3" s="25"/>
      <c r="BN3" s="26"/>
      <c r="BO3" s="22" t="s">
        <v>85</v>
      </c>
      <c r="BP3" s="23"/>
      <c r="BQ3" s="118" t="s">
        <v>86</v>
      </c>
      <c r="BR3" s="24"/>
      <c r="BS3" s="184"/>
      <c r="BT3" s="23"/>
      <c r="BU3" s="24"/>
      <c r="BV3" s="19" t="s">
        <v>84</v>
      </c>
      <c r="BW3" s="20"/>
      <c r="BX3" s="20"/>
      <c r="BY3" s="20"/>
      <c r="BZ3" s="20"/>
      <c r="CA3" s="20"/>
      <c r="CB3" s="20"/>
      <c r="CC3" s="20"/>
      <c r="CD3" s="20"/>
      <c r="CE3" s="20"/>
      <c r="CF3" s="20"/>
      <c r="CG3" s="21"/>
      <c r="CH3" s="9" t="s">
        <v>93</v>
      </c>
      <c r="CI3" s="10"/>
      <c r="CJ3" s="10"/>
      <c r="CK3" s="10"/>
      <c r="CL3" s="7" t="s">
        <v>476</v>
      </c>
      <c r="CM3" s="8"/>
      <c r="CN3" s="8"/>
      <c r="CO3" s="8"/>
      <c r="CP3" s="8"/>
      <c r="CQ3" s="5" t="s">
        <v>479</v>
      </c>
      <c r="CR3" s="6"/>
      <c r="CS3" s="6"/>
      <c r="CT3" s="6"/>
      <c r="CU3" s="6"/>
      <c r="CV3" s="119" t="s">
        <v>98</v>
      </c>
      <c r="CW3" s="120"/>
      <c r="CX3" s="121"/>
    </row>
    <row r="4" spans="2:102" s="1" customFormat="1" ht="87" thickBot="1" x14ac:dyDescent="0.35">
      <c r="B4" s="185" t="s">
        <v>379</v>
      </c>
      <c r="C4" s="186" t="s">
        <v>1</v>
      </c>
      <c r="D4" s="187" t="s">
        <v>2</v>
      </c>
      <c r="E4" s="186" t="s">
        <v>3</v>
      </c>
      <c r="F4" s="188" t="s">
        <v>490</v>
      </c>
      <c r="G4" s="189" t="s">
        <v>4</v>
      </c>
      <c r="H4" s="190" t="s">
        <v>127</v>
      </c>
      <c r="I4" s="189" t="s">
        <v>125</v>
      </c>
      <c r="J4" s="190" t="s">
        <v>7</v>
      </c>
      <c r="K4" s="190" t="s">
        <v>126</v>
      </c>
      <c r="L4" s="191" t="s">
        <v>502</v>
      </c>
      <c r="M4" s="192" t="s">
        <v>27</v>
      </c>
      <c r="N4" s="192" t="s">
        <v>23</v>
      </c>
      <c r="O4" s="193" t="s">
        <v>24</v>
      </c>
      <c r="P4" s="193" t="s">
        <v>25</v>
      </c>
      <c r="Q4" s="193" t="s">
        <v>26</v>
      </c>
      <c r="R4" s="193" t="s">
        <v>412</v>
      </c>
      <c r="S4" s="194" t="s">
        <v>501</v>
      </c>
      <c r="T4" s="195" t="s">
        <v>29</v>
      </c>
      <c r="U4" s="195" t="s">
        <v>30</v>
      </c>
      <c r="V4" s="195" t="s">
        <v>31</v>
      </c>
      <c r="W4" s="195" t="s">
        <v>32</v>
      </c>
      <c r="X4" s="192" t="s">
        <v>34</v>
      </c>
      <c r="Y4" s="196" t="s">
        <v>35</v>
      </c>
      <c r="Z4" s="192" t="s">
        <v>38</v>
      </c>
      <c r="AA4" s="192" t="s">
        <v>493</v>
      </c>
      <c r="AB4" s="192" t="s">
        <v>39</v>
      </c>
      <c r="AC4" s="192" t="s">
        <v>41</v>
      </c>
      <c r="AD4" s="193" t="s">
        <v>42</v>
      </c>
      <c r="AE4" s="193" t="s">
        <v>43</v>
      </c>
      <c r="AF4" s="193" t="s">
        <v>44</v>
      </c>
      <c r="AG4" s="192" t="s">
        <v>492</v>
      </c>
      <c r="AH4" s="192" t="s">
        <v>46</v>
      </c>
      <c r="AI4" s="192" t="s">
        <v>47</v>
      </c>
      <c r="AJ4" s="193" t="s">
        <v>48</v>
      </c>
      <c r="AK4" s="192" t="s">
        <v>491</v>
      </c>
      <c r="AL4" s="197" t="s">
        <v>428</v>
      </c>
      <c r="AM4" s="197" t="s">
        <v>429</v>
      </c>
      <c r="AN4" s="193" t="s">
        <v>433</v>
      </c>
      <c r="AO4" s="192" t="s">
        <v>434</v>
      </c>
      <c r="AP4" s="193" t="s">
        <v>52</v>
      </c>
      <c r="AQ4" s="193" t="s">
        <v>53</v>
      </c>
      <c r="AR4" s="193" t="s">
        <v>54</v>
      </c>
      <c r="AS4" s="193" t="s">
        <v>55</v>
      </c>
      <c r="AT4" s="192" t="s">
        <v>58</v>
      </c>
      <c r="AU4" s="193" t="s">
        <v>438</v>
      </c>
      <c r="AV4" s="192" t="s">
        <v>439</v>
      </c>
      <c r="AW4" s="193" t="s">
        <v>443</v>
      </c>
      <c r="AX4" s="192" t="s">
        <v>503</v>
      </c>
      <c r="AY4" s="193" t="s">
        <v>444</v>
      </c>
      <c r="AZ4" s="193" t="s">
        <v>445</v>
      </c>
      <c r="BA4" s="192" t="s">
        <v>67</v>
      </c>
      <c r="BB4" s="192" t="s">
        <v>70</v>
      </c>
      <c r="BC4" s="193" t="s">
        <v>446</v>
      </c>
      <c r="BD4" s="193" t="s">
        <v>447</v>
      </c>
      <c r="BE4" s="193" t="s">
        <v>448</v>
      </c>
      <c r="BF4" s="193" t="s">
        <v>449</v>
      </c>
      <c r="BG4" s="193" t="s">
        <v>450</v>
      </c>
      <c r="BH4" s="193" t="s">
        <v>451</v>
      </c>
      <c r="BI4" s="193" t="s">
        <v>57</v>
      </c>
      <c r="BJ4" s="192" t="s">
        <v>71</v>
      </c>
      <c r="BK4" s="193" t="s">
        <v>452</v>
      </c>
      <c r="BL4" s="193" t="s">
        <v>453</v>
      </c>
      <c r="BM4" s="193" t="s">
        <v>76</v>
      </c>
      <c r="BN4" s="192" t="s">
        <v>77</v>
      </c>
      <c r="BO4" s="192" t="s">
        <v>78</v>
      </c>
      <c r="BP4" s="192" t="s">
        <v>79</v>
      </c>
      <c r="BQ4" s="192" t="s">
        <v>80</v>
      </c>
      <c r="BR4" s="192" t="s">
        <v>81</v>
      </c>
      <c r="BS4" s="192" t="s">
        <v>82</v>
      </c>
      <c r="BT4" s="192" t="s">
        <v>83</v>
      </c>
      <c r="BU4" s="192" t="s">
        <v>118</v>
      </c>
      <c r="BV4" s="192" t="s">
        <v>87</v>
      </c>
      <c r="BW4" s="193" t="s">
        <v>466</v>
      </c>
      <c r="BX4" s="192" t="s">
        <v>88</v>
      </c>
      <c r="BY4" s="193" t="s">
        <v>467</v>
      </c>
      <c r="BZ4" s="192" t="s">
        <v>89</v>
      </c>
      <c r="CA4" s="193" t="s">
        <v>468</v>
      </c>
      <c r="CB4" s="192" t="s">
        <v>90</v>
      </c>
      <c r="CC4" s="193" t="s">
        <v>469</v>
      </c>
      <c r="CD4" s="192" t="s">
        <v>91</v>
      </c>
      <c r="CE4" s="193" t="s">
        <v>470</v>
      </c>
      <c r="CF4" s="192" t="s">
        <v>92</v>
      </c>
      <c r="CG4" s="193" t="s">
        <v>471</v>
      </c>
      <c r="CH4" s="193" t="s">
        <v>94</v>
      </c>
      <c r="CI4" s="193" t="s">
        <v>472</v>
      </c>
      <c r="CJ4" s="192" t="s">
        <v>474</v>
      </c>
      <c r="CK4" s="193" t="s">
        <v>475</v>
      </c>
      <c r="CL4" s="192" t="s">
        <v>477</v>
      </c>
      <c r="CM4" s="193" t="s">
        <v>478</v>
      </c>
      <c r="CN4" s="193" t="s">
        <v>100</v>
      </c>
      <c r="CO4" s="193" t="s">
        <v>101</v>
      </c>
      <c r="CP4" s="193" t="s">
        <v>102</v>
      </c>
      <c r="CQ4" s="192" t="s">
        <v>99</v>
      </c>
      <c r="CR4" s="193" t="s">
        <v>480</v>
      </c>
      <c r="CS4" s="193" t="s">
        <v>481</v>
      </c>
      <c r="CT4" s="193" t="s">
        <v>482</v>
      </c>
      <c r="CU4" s="193" t="s">
        <v>483</v>
      </c>
      <c r="CV4" s="193" t="s">
        <v>103</v>
      </c>
      <c r="CW4" s="192" t="s">
        <v>104</v>
      </c>
      <c r="CX4" s="198" t="s">
        <v>488</v>
      </c>
    </row>
    <row r="5" spans="2:102" s="2" customFormat="1" ht="43.95" customHeight="1" x14ac:dyDescent="0.3">
      <c r="B5" s="122" t="s">
        <v>169</v>
      </c>
      <c r="C5" s="66" t="str">
        <f>_xlfn.IFNA(VLOOKUP(Table1[[#This Row],[Asset Reference
 (Well license facility code, pipeline '# or disposition '#)]],'well report'!$D$5:$X$999,3,FALSE),"")</f>
        <v xml:space="preserve">STRONG ENERGY CHARLK 15-32-60-3     </v>
      </c>
      <c r="D5" s="66"/>
      <c r="E5" s="66" t="str">
        <f>_xlfn.IFNA(VLOOKUP(Table1[[#This Row],[Asset Reference
 (Well license facility code, pipeline '# or disposition '#)]],'well report'!$D$5:$X$999,8,FALSE),"")</f>
        <v xml:space="preserve">Abandoned   </v>
      </c>
      <c r="F5" s="66" t="str">
        <f>_xlfn.IFNA(VLOOKUP(Table1[[#This Row],[Asset Reference
 (Well license facility code, pipeline '# or disposition '#)]],'well report'!$D$5:$X$999,5,FALSE),"")</f>
        <v>STRONG ENERGY RESOURCES LTD.</v>
      </c>
      <c r="G5" s="66"/>
      <c r="H5" s="67"/>
      <c r="I5" s="68"/>
      <c r="J5" s="127"/>
      <c r="K5" s="69"/>
      <c r="L5" s="129"/>
      <c r="M5" s="148"/>
      <c r="N5" s="90"/>
      <c r="O5" s="149"/>
      <c r="P5" s="150"/>
      <c r="Q5" s="149"/>
      <c r="R5" s="151"/>
      <c r="S5" s="152"/>
      <c r="T5" s="153" t="str">
        <f>_xlfn.IFNA(VLOOKUP(Table1[[#This Row],[Asset Reference
 (Well license facility code, pipeline '# or disposition '#)]],'well report'!$D$5:$X$999,3,FALSE),"")</f>
        <v xml:space="preserve">STRONG ENERGY CHARLK 15-32-60-3     </v>
      </c>
      <c r="U5" s="154" t="str">
        <f>_xlfn.IFNA(VLOOKUP(Table1[[#This Row],[Asset Reference
 (Well license facility code, pipeline '# or disposition '#)]],'well report'!$D$5:$X$999,9,FALSE),"")</f>
        <v>SEP 19 2002</v>
      </c>
      <c r="V5" s="154" t="str">
        <f>_xlfn.IFNA(VLOOKUP(Table1[[#This Row],[Asset Reference
 (Well license facility code, pipeline '# or disposition '#)]],'well report'!$D$5:$X$999,10,FALSE),"")</f>
        <v>SEP 20 2002</v>
      </c>
      <c r="W5" s="153" t="str">
        <f>_xlfn.IFNA(VLOOKUP(Table1[[#This Row],[Asset Reference
 (Well license facility code, pipeline '# or disposition '#)]],'well report'!$D$5:$X$999,20,FALSE),"")</f>
        <v>360</v>
      </c>
      <c r="X5" s="155"/>
      <c r="Y5" s="155"/>
      <c r="Z5" s="156"/>
      <c r="AA5" s="157"/>
      <c r="AB5" s="157"/>
      <c r="AC5" s="158"/>
      <c r="AD5" s="159"/>
      <c r="AE5" s="158"/>
      <c r="AF5" s="158"/>
      <c r="AG5" s="160"/>
      <c r="AH5" s="161"/>
      <c r="AI5" s="161"/>
      <c r="AJ5" s="162"/>
      <c r="AK5" s="163"/>
      <c r="AL5" s="164"/>
      <c r="AM5" s="206"/>
      <c r="AN5" s="206"/>
      <c r="AO5" s="165"/>
      <c r="AP5" s="165"/>
      <c r="AQ5" s="165"/>
      <c r="AR5" s="165"/>
      <c r="AS5" s="165"/>
      <c r="AT5" s="165"/>
      <c r="AU5" s="166"/>
      <c r="AV5" s="166"/>
      <c r="AW5" s="166"/>
      <c r="AX5" s="144"/>
      <c r="AY5" s="167"/>
      <c r="AZ5" s="167"/>
      <c r="BA5" s="168"/>
      <c r="BB5" s="169"/>
      <c r="BC5" s="166"/>
      <c r="BD5" s="166"/>
      <c r="BE5" s="166"/>
      <c r="BF5" s="166"/>
      <c r="BG5" s="166"/>
      <c r="BH5" s="166"/>
      <c r="BI5" s="166"/>
      <c r="BJ5" s="169" t="s">
        <v>17</v>
      </c>
      <c r="BK5" s="206"/>
      <c r="BL5" s="170"/>
      <c r="BM5" s="171"/>
      <c r="BN5" s="171"/>
      <c r="BO5" s="172"/>
      <c r="BP5" s="172"/>
      <c r="BQ5" s="172"/>
      <c r="BR5" s="172"/>
      <c r="BS5" s="173"/>
      <c r="BT5" s="173"/>
      <c r="BU5" s="173"/>
      <c r="BV5" s="174"/>
      <c r="BW5" s="175"/>
      <c r="BX5" s="174"/>
      <c r="BY5" s="175"/>
      <c r="BZ5" s="174"/>
      <c r="CA5" s="175"/>
      <c r="CB5" s="174"/>
      <c r="CC5" s="175"/>
      <c r="CD5" s="174"/>
      <c r="CE5" s="175"/>
      <c r="CF5" s="174"/>
      <c r="CG5" s="175"/>
      <c r="CH5" s="176"/>
      <c r="CI5" s="177"/>
      <c r="CJ5" s="176"/>
      <c r="CK5" s="176"/>
      <c r="CL5" s="178"/>
      <c r="CM5" s="179"/>
      <c r="CN5" s="178" t="s">
        <v>504</v>
      </c>
      <c r="CO5" s="178"/>
      <c r="CP5" s="178"/>
      <c r="CQ5" s="180"/>
      <c r="CR5" s="180"/>
      <c r="CS5" s="180" t="s">
        <v>505</v>
      </c>
      <c r="CT5" s="180"/>
      <c r="CU5" s="180"/>
      <c r="CV5" s="181"/>
      <c r="CW5" s="182"/>
      <c r="CX5" s="183"/>
    </row>
    <row r="6" spans="2:102" s="2" customFormat="1" ht="43.95" customHeight="1" x14ac:dyDescent="0.3">
      <c r="B6" s="123"/>
      <c r="C6" s="66" t="str">
        <f>_xlfn.IFNA(VLOOKUP(Table1[[#This Row],[Asset Reference
 (Well license facility code, pipeline '# or disposition '#)]],'well report'!$D$5:$X$999,3,FALSE),"")</f>
        <v/>
      </c>
      <c r="D6" s="66"/>
      <c r="E6" s="66" t="str">
        <f>_xlfn.IFNA(VLOOKUP(Table1[[#This Row],[Asset Reference
 (Well license facility code, pipeline '# or disposition '#)]],'well report'!$D$5:$X$999,8,FALSE),"")</f>
        <v/>
      </c>
      <c r="F6" s="66" t="str">
        <f>_xlfn.IFNA(VLOOKUP(Table1[[#This Row],[Asset Reference
 (Well license facility code, pipeline '# or disposition '#)]],'well report'!$D$5:$X$999,5,FALSE),"")</f>
        <v/>
      </c>
      <c r="G6" s="66"/>
      <c r="H6" s="67"/>
      <c r="I6" s="68"/>
      <c r="J6" s="127"/>
      <c r="K6" s="69"/>
      <c r="L6" s="129"/>
      <c r="M6" s="135"/>
      <c r="N6" s="134"/>
      <c r="O6" s="70"/>
      <c r="P6" s="71"/>
      <c r="Q6" s="70"/>
      <c r="R6" s="111"/>
      <c r="S6" s="72"/>
      <c r="T6" s="153" t="str">
        <f>_xlfn.IFNA(VLOOKUP(Table1[[#This Row],[Asset Reference
 (Well license facility code, pipeline '# or disposition '#)]],'well report'!$D$5:$X$999,3,FALSE),"")</f>
        <v/>
      </c>
      <c r="U6" s="109" t="str">
        <f>_xlfn.IFNA(VLOOKUP(Table1[[#This Row],[Asset Reference
 (Well license facility code, pipeline '# or disposition '#)]],'well report'!$D$5:$X$999,9,FALSE),"")</f>
        <v/>
      </c>
      <c r="V6" s="109" t="str">
        <f>_xlfn.IFNA(VLOOKUP(Table1[[#This Row],[Asset Reference
 (Well license facility code, pipeline '# or disposition '#)]],'well report'!$D$5:$X$999,10,FALSE),"")</f>
        <v/>
      </c>
      <c r="W6" s="73" t="str">
        <f>_xlfn.IFNA(VLOOKUP(Table1[[#This Row],[Asset Reference
 (Well license facility code, pipeline '# or disposition '#)]],'well report'!$D$5:$X$999,20,FALSE),"")</f>
        <v/>
      </c>
      <c r="X6" s="139"/>
      <c r="Y6" s="139"/>
      <c r="Z6" s="137"/>
      <c r="AA6" s="74"/>
      <c r="AB6" s="74"/>
      <c r="AC6" s="75"/>
      <c r="AD6" s="130"/>
      <c r="AE6" s="75"/>
      <c r="AF6" s="75"/>
      <c r="AG6" s="76"/>
      <c r="AH6" s="77"/>
      <c r="AI6" s="77"/>
      <c r="AJ6" s="132"/>
      <c r="AK6" s="78"/>
      <c r="AL6" s="112"/>
      <c r="AM6" s="206"/>
      <c r="AN6" s="206"/>
      <c r="AO6" s="79"/>
      <c r="AP6" s="165"/>
      <c r="AQ6" s="165"/>
      <c r="AR6" s="165"/>
      <c r="AS6" s="165"/>
      <c r="AT6" s="79"/>
      <c r="AU6" s="141"/>
      <c r="AV6" s="141"/>
      <c r="AW6" s="141"/>
      <c r="AX6" s="145"/>
      <c r="AY6" s="143"/>
      <c r="AZ6" s="80"/>
      <c r="BA6" s="81"/>
      <c r="BB6" s="82"/>
      <c r="BC6" s="141"/>
      <c r="BD6" s="141"/>
      <c r="BE6" s="141"/>
      <c r="BF6" s="141"/>
      <c r="BG6" s="141"/>
      <c r="BH6" s="141"/>
      <c r="BI6" s="141"/>
      <c r="BJ6" s="82"/>
      <c r="BK6" s="207"/>
      <c r="BL6" s="83"/>
      <c r="BM6" s="84"/>
      <c r="BN6" s="84"/>
      <c r="BO6" s="85"/>
      <c r="BP6" s="85"/>
      <c r="BQ6" s="85"/>
      <c r="BR6" s="85"/>
      <c r="BS6" s="86"/>
      <c r="BT6" s="86"/>
      <c r="BU6" s="86"/>
      <c r="BV6" s="87"/>
      <c r="BW6" s="146"/>
      <c r="BX6" s="87"/>
      <c r="BY6" s="146"/>
      <c r="BZ6" s="87"/>
      <c r="CA6" s="146"/>
      <c r="CB6" s="87"/>
      <c r="CC6" s="146"/>
      <c r="CD6" s="87"/>
      <c r="CE6" s="146"/>
      <c r="CF6" s="87"/>
      <c r="CG6" s="146"/>
      <c r="CH6" s="88"/>
      <c r="CI6" s="89"/>
      <c r="CJ6" s="176"/>
      <c r="CK6" s="88"/>
      <c r="CL6" s="199"/>
      <c r="CM6" s="200"/>
      <c r="CN6" s="199"/>
      <c r="CO6" s="199"/>
      <c r="CP6" s="199"/>
      <c r="CQ6" s="203"/>
      <c r="CR6" s="203"/>
      <c r="CS6" s="203"/>
      <c r="CT6" s="203"/>
      <c r="CU6" s="203"/>
      <c r="CV6" s="203"/>
      <c r="CW6" s="204"/>
      <c r="CX6" s="205"/>
    </row>
    <row r="7" spans="2:102" s="2" customFormat="1" ht="43.95" customHeight="1" x14ac:dyDescent="0.3">
      <c r="B7" s="124"/>
      <c r="C7" s="66" t="str">
        <f>_xlfn.IFNA(VLOOKUP(Table1[[#This Row],[Asset Reference
 (Well license facility code, pipeline '# or disposition '#)]],'well report'!$D$5:$X$999,3,FALSE),"")</f>
        <v/>
      </c>
      <c r="D7" s="66"/>
      <c r="E7" s="66" t="str">
        <f>_xlfn.IFNA(VLOOKUP(Table1[[#This Row],[Asset Reference
 (Well license facility code, pipeline '# or disposition '#)]],'well report'!$D$5:$X$999,8,FALSE),"")</f>
        <v/>
      </c>
      <c r="F7" s="66" t="str">
        <f>_xlfn.IFNA(VLOOKUP(Table1[[#This Row],[Asset Reference
 (Well license facility code, pipeline '# or disposition '#)]],'well report'!$D$5:$X$999,5,FALSE),"")</f>
        <v/>
      </c>
      <c r="G7" s="66"/>
      <c r="H7" s="67"/>
      <c r="I7" s="68"/>
      <c r="J7" s="127"/>
      <c r="K7" s="69"/>
      <c r="L7" s="129"/>
      <c r="M7" s="135"/>
      <c r="N7" s="70"/>
      <c r="O7" s="70"/>
      <c r="P7" s="71"/>
      <c r="Q7" s="70"/>
      <c r="R7" s="111"/>
      <c r="S7" s="72"/>
      <c r="T7" s="153" t="str">
        <f>_xlfn.IFNA(VLOOKUP(Table1[[#This Row],[Asset Reference
 (Well license facility code, pipeline '# or disposition '#)]],'well report'!$D$5:$X$999,3,FALSE),"")</f>
        <v/>
      </c>
      <c r="U7" s="109" t="str">
        <f>_xlfn.IFNA(VLOOKUP(Table1[[#This Row],[Asset Reference
 (Well license facility code, pipeline '# or disposition '#)]],'well report'!$D$5:$X$999,9,FALSE),"")</f>
        <v/>
      </c>
      <c r="V7" s="109" t="str">
        <f>_xlfn.IFNA(VLOOKUP(Table1[[#This Row],[Asset Reference
 (Well license facility code, pipeline '# or disposition '#)]],'well report'!$D$5:$X$999,10,FALSE),"")</f>
        <v/>
      </c>
      <c r="W7" s="73" t="str">
        <f>_xlfn.IFNA(VLOOKUP(Table1[[#This Row],[Asset Reference
 (Well license facility code, pipeline '# or disposition '#)]],'well report'!$D$5:$X$999,20,FALSE),"")</f>
        <v/>
      </c>
      <c r="X7" s="139"/>
      <c r="Y7" s="139"/>
      <c r="Z7" s="137"/>
      <c r="AA7" s="74"/>
      <c r="AB7" s="74"/>
      <c r="AC7" s="75"/>
      <c r="AD7" s="130"/>
      <c r="AE7" s="75"/>
      <c r="AF7" s="75"/>
      <c r="AG7" s="76"/>
      <c r="AH7" s="77"/>
      <c r="AI7" s="77"/>
      <c r="AJ7" s="132"/>
      <c r="AK7" s="78"/>
      <c r="AL7" s="112"/>
      <c r="AM7" s="206"/>
      <c r="AN7" s="206"/>
      <c r="AO7" s="79"/>
      <c r="AP7" s="165"/>
      <c r="AQ7" s="165"/>
      <c r="AR7" s="165"/>
      <c r="AS7" s="165"/>
      <c r="AT7" s="79"/>
      <c r="AU7" s="141"/>
      <c r="AV7" s="141"/>
      <c r="AW7" s="141"/>
      <c r="AX7" s="145"/>
      <c r="AY7" s="143"/>
      <c r="AZ7" s="80"/>
      <c r="BA7" s="81"/>
      <c r="BB7" s="82"/>
      <c r="BC7" s="141"/>
      <c r="BD7" s="141"/>
      <c r="BE7" s="141"/>
      <c r="BF7" s="141"/>
      <c r="BG7" s="141"/>
      <c r="BH7" s="141"/>
      <c r="BI7" s="141"/>
      <c r="BJ7" s="82"/>
      <c r="BK7" s="207"/>
      <c r="BL7" s="83"/>
      <c r="BM7" s="84"/>
      <c r="BN7" s="84"/>
      <c r="BO7" s="85"/>
      <c r="BP7" s="85"/>
      <c r="BQ7" s="85"/>
      <c r="BR7" s="85"/>
      <c r="BS7" s="86"/>
      <c r="BT7" s="86"/>
      <c r="BU7" s="86"/>
      <c r="BV7" s="87"/>
      <c r="BW7" s="146"/>
      <c r="BX7" s="87"/>
      <c r="BY7" s="146"/>
      <c r="BZ7" s="87"/>
      <c r="CA7" s="146"/>
      <c r="CB7" s="87"/>
      <c r="CC7" s="146"/>
      <c r="CD7" s="87"/>
      <c r="CE7" s="146"/>
      <c r="CF7" s="87"/>
      <c r="CG7" s="146"/>
      <c r="CH7" s="88"/>
      <c r="CI7" s="89"/>
      <c r="CJ7" s="176"/>
      <c r="CK7" s="88"/>
      <c r="CL7" s="199"/>
      <c r="CM7" s="200"/>
      <c r="CN7" s="199"/>
      <c r="CO7" s="199"/>
      <c r="CP7" s="199"/>
      <c r="CQ7" s="203"/>
      <c r="CR7" s="203"/>
      <c r="CS7" s="203"/>
      <c r="CT7" s="203"/>
      <c r="CU7" s="203"/>
      <c r="CV7" s="203"/>
      <c r="CW7" s="204"/>
      <c r="CX7" s="205"/>
    </row>
    <row r="8" spans="2:102" s="2" customFormat="1" ht="43.95" customHeight="1" x14ac:dyDescent="0.3">
      <c r="B8" s="124"/>
      <c r="C8" s="66" t="str">
        <f>_xlfn.IFNA(VLOOKUP(Table1[[#This Row],[Asset Reference
 (Well license facility code, pipeline '# or disposition '#)]],'well report'!$D$5:$X$999,3,FALSE),"")</f>
        <v/>
      </c>
      <c r="D8" s="66"/>
      <c r="E8" s="66" t="str">
        <f>_xlfn.IFNA(VLOOKUP(Table1[[#This Row],[Asset Reference
 (Well license facility code, pipeline '# or disposition '#)]],'well report'!$D$5:$X$999,8,FALSE),"")</f>
        <v/>
      </c>
      <c r="F8" s="66" t="str">
        <f>_xlfn.IFNA(VLOOKUP(Table1[[#This Row],[Asset Reference
 (Well license facility code, pipeline '# or disposition '#)]],'well report'!$D$5:$X$999,5,FALSE),"")</f>
        <v/>
      </c>
      <c r="G8" s="66"/>
      <c r="H8" s="67"/>
      <c r="I8" s="68"/>
      <c r="J8" s="127"/>
      <c r="K8" s="69"/>
      <c r="L8" s="129"/>
      <c r="M8" s="135"/>
      <c r="N8" s="70"/>
      <c r="O8" s="70"/>
      <c r="P8" s="71"/>
      <c r="Q8" s="70"/>
      <c r="R8" s="111"/>
      <c r="S8" s="72"/>
      <c r="T8" s="153" t="str">
        <f>_xlfn.IFNA(VLOOKUP(Table1[[#This Row],[Asset Reference
 (Well license facility code, pipeline '# or disposition '#)]],'well report'!$D$5:$X$999,3,FALSE),"")</f>
        <v/>
      </c>
      <c r="U8" s="109" t="str">
        <f>_xlfn.IFNA(VLOOKUP(Table1[[#This Row],[Asset Reference
 (Well license facility code, pipeline '# or disposition '#)]],'well report'!$D$5:$X$999,9,FALSE),"")</f>
        <v/>
      </c>
      <c r="V8" s="109" t="str">
        <f>_xlfn.IFNA(VLOOKUP(Table1[[#This Row],[Asset Reference
 (Well license facility code, pipeline '# or disposition '#)]],'well report'!$D$5:$X$999,10,FALSE),"")</f>
        <v/>
      </c>
      <c r="W8" s="73" t="str">
        <f>_xlfn.IFNA(VLOOKUP(Table1[[#This Row],[Asset Reference
 (Well license facility code, pipeline '# or disposition '#)]],'well report'!$D$5:$X$999,20,FALSE),"")</f>
        <v/>
      </c>
      <c r="X8" s="139"/>
      <c r="Y8" s="139"/>
      <c r="Z8" s="137"/>
      <c r="AA8" s="74"/>
      <c r="AB8" s="74"/>
      <c r="AC8" s="75"/>
      <c r="AD8" s="130"/>
      <c r="AE8" s="75"/>
      <c r="AF8" s="75"/>
      <c r="AG8" s="76"/>
      <c r="AH8" s="77"/>
      <c r="AI8" s="77"/>
      <c r="AJ8" s="132"/>
      <c r="AK8" s="78"/>
      <c r="AL8" s="112"/>
      <c r="AM8" s="206"/>
      <c r="AN8" s="206"/>
      <c r="AO8" s="79"/>
      <c r="AP8" s="165"/>
      <c r="AQ8" s="165"/>
      <c r="AR8" s="165"/>
      <c r="AS8" s="165"/>
      <c r="AT8" s="79"/>
      <c r="AU8" s="141"/>
      <c r="AV8" s="141"/>
      <c r="AW8" s="141"/>
      <c r="AX8" s="145"/>
      <c r="AY8" s="143"/>
      <c r="AZ8" s="80"/>
      <c r="BA8" s="81"/>
      <c r="BB8" s="82"/>
      <c r="BC8" s="141"/>
      <c r="BD8" s="141"/>
      <c r="BE8" s="141"/>
      <c r="BF8" s="141"/>
      <c r="BG8" s="141"/>
      <c r="BH8" s="141"/>
      <c r="BI8" s="141"/>
      <c r="BJ8" s="82"/>
      <c r="BK8" s="207"/>
      <c r="BL8" s="83"/>
      <c r="BM8" s="84"/>
      <c r="BN8" s="84"/>
      <c r="BO8" s="85"/>
      <c r="BP8" s="85"/>
      <c r="BQ8" s="85"/>
      <c r="BR8" s="85"/>
      <c r="BS8" s="86"/>
      <c r="BT8" s="86"/>
      <c r="BU8" s="86"/>
      <c r="BV8" s="87"/>
      <c r="BW8" s="146"/>
      <c r="BX8" s="87"/>
      <c r="BY8" s="146"/>
      <c r="BZ8" s="87"/>
      <c r="CA8" s="146"/>
      <c r="CB8" s="87"/>
      <c r="CC8" s="146"/>
      <c r="CD8" s="87"/>
      <c r="CE8" s="146"/>
      <c r="CF8" s="87"/>
      <c r="CG8" s="146"/>
      <c r="CH8" s="88"/>
      <c r="CI8" s="89"/>
      <c r="CJ8" s="176"/>
      <c r="CK8" s="88"/>
      <c r="CL8" s="199"/>
      <c r="CM8" s="200"/>
      <c r="CN8" s="199"/>
      <c r="CO8" s="199"/>
      <c r="CP8" s="199"/>
      <c r="CQ8" s="203"/>
      <c r="CR8" s="203"/>
      <c r="CS8" s="203"/>
      <c r="CT8" s="203"/>
      <c r="CU8" s="203"/>
      <c r="CV8" s="203"/>
      <c r="CW8" s="204"/>
      <c r="CX8" s="205"/>
    </row>
    <row r="9" spans="2:102" s="2" customFormat="1" ht="43.95" customHeight="1" x14ac:dyDescent="0.3">
      <c r="B9" s="124"/>
      <c r="C9" s="66" t="str">
        <f>_xlfn.IFNA(VLOOKUP(Table1[[#This Row],[Asset Reference
 (Well license facility code, pipeline '# or disposition '#)]],'well report'!$D$5:$X$999,3,FALSE),"")</f>
        <v/>
      </c>
      <c r="D9" s="66"/>
      <c r="E9" s="66" t="str">
        <f>_xlfn.IFNA(VLOOKUP(Table1[[#This Row],[Asset Reference
 (Well license facility code, pipeline '# or disposition '#)]],'well report'!$D$5:$X$999,8,FALSE),"")</f>
        <v/>
      </c>
      <c r="F9" s="66" t="str">
        <f>_xlfn.IFNA(VLOOKUP(Table1[[#This Row],[Asset Reference
 (Well license facility code, pipeline '# or disposition '#)]],'well report'!$D$5:$X$999,5,FALSE),"")</f>
        <v/>
      </c>
      <c r="G9" s="66"/>
      <c r="H9" s="67"/>
      <c r="I9" s="68"/>
      <c r="J9" s="127"/>
      <c r="K9" s="69"/>
      <c r="L9" s="129"/>
      <c r="M9" s="135"/>
      <c r="N9" s="70"/>
      <c r="O9" s="70"/>
      <c r="P9" s="71"/>
      <c r="Q9" s="70"/>
      <c r="R9" s="111"/>
      <c r="S9" s="72"/>
      <c r="T9" s="153" t="str">
        <f>_xlfn.IFNA(VLOOKUP(Table1[[#This Row],[Asset Reference
 (Well license facility code, pipeline '# or disposition '#)]],'well report'!$D$5:$X$999,3,FALSE),"")</f>
        <v/>
      </c>
      <c r="U9" s="109" t="str">
        <f>_xlfn.IFNA(VLOOKUP(Table1[[#This Row],[Asset Reference
 (Well license facility code, pipeline '# or disposition '#)]],'well report'!$D$5:$X$999,9,FALSE),"")</f>
        <v/>
      </c>
      <c r="V9" s="109" t="str">
        <f>_xlfn.IFNA(VLOOKUP(Table1[[#This Row],[Asset Reference
 (Well license facility code, pipeline '# or disposition '#)]],'well report'!$D$5:$X$999,10,FALSE),"")</f>
        <v/>
      </c>
      <c r="W9" s="73" t="str">
        <f>_xlfn.IFNA(VLOOKUP(Table1[[#This Row],[Asset Reference
 (Well license facility code, pipeline '# or disposition '#)]],'well report'!$D$5:$X$999,20,FALSE),"")</f>
        <v/>
      </c>
      <c r="X9" s="139"/>
      <c r="Y9" s="139"/>
      <c r="Z9" s="137"/>
      <c r="AA9" s="74"/>
      <c r="AB9" s="74"/>
      <c r="AC9" s="75"/>
      <c r="AD9" s="130"/>
      <c r="AE9" s="75"/>
      <c r="AF9" s="75"/>
      <c r="AG9" s="76"/>
      <c r="AH9" s="77"/>
      <c r="AI9" s="77"/>
      <c r="AJ9" s="132"/>
      <c r="AK9" s="78"/>
      <c r="AL9" s="112"/>
      <c r="AM9" s="206"/>
      <c r="AN9" s="206"/>
      <c r="AO9" s="79"/>
      <c r="AP9" s="165"/>
      <c r="AQ9" s="165"/>
      <c r="AR9" s="165"/>
      <c r="AS9" s="165"/>
      <c r="AT9" s="79"/>
      <c r="AU9" s="141"/>
      <c r="AV9" s="141"/>
      <c r="AW9" s="141"/>
      <c r="AX9" s="145"/>
      <c r="AY9" s="143"/>
      <c r="AZ9" s="80"/>
      <c r="BA9" s="81"/>
      <c r="BB9" s="82"/>
      <c r="BC9" s="141"/>
      <c r="BD9" s="141"/>
      <c r="BE9" s="141"/>
      <c r="BF9" s="141"/>
      <c r="BG9" s="141"/>
      <c r="BH9" s="141"/>
      <c r="BI9" s="141"/>
      <c r="BJ9" s="82"/>
      <c r="BK9" s="207"/>
      <c r="BL9" s="83"/>
      <c r="BM9" s="84"/>
      <c r="BN9" s="84"/>
      <c r="BO9" s="85"/>
      <c r="BP9" s="85"/>
      <c r="BQ9" s="85"/>
      <c r="BR9" s="85"/>
      <c r="BS9" s="86"/>
      <c r="BT9" s="86"/>
      <c r="BU9" s="86"/>
      <c r="BV9" s="87"/>
      <c r="BW9" s="146"/>
      <c r="BX9" s="87"/>
      <c r="BY9" s="146"/>
      <c r="BZ9" s="87"/>
      <c r="CA9" s="146"/>
      <c r="CB9" s="87"/>
      <c r="CC9" s="146"/>
      <c r="CD9" s="87"/>
      <c r="CE9" s="146"/>
      <c r="CF9" s="87"/>
      <c r="CG9" s="146"/>
      <c r="CH9" s="88"/>
      <c r="CI9" s="89"/>
      <c r="CJ9" s="176"/>
      <c r="CK9" s="88"/>
      <c r="CL9" s="199"/>
      <c r="CM9" s="200"/>
      <c r="CN9" s="199"/>
      <c r="CO9" s="199"/>
      <c r="CP9" s="199"/>
      <c r="CQ9" s="203"/>
      <c r="CR9" s="203"/>
      <c r="CS9" s="203"/>
      <c r="CT9" s="203"/>
      <c r="CU9" s="203"/>
      <c r="CV9" s="203"/>
      <c r="CW9" s="204"/>
      <c r="CX9" s="205"/>
    </row>
    <row r="10" spans="2:102" s="2" customFormat="1" ht="43.95" customHeight="1" x14ac:dyDescent="0.3">
      <c r="B10" s="124"/>
      <c r="C10" s="66" t="str">
        <f>_xlfn.IFNA(VLOOKUP(Table1[[#This Row],[Asset Reference
 (Well license facility code, pipeline '# or disposition '#)]],'well report'!$D$5:$X$999,3,FALSE),"")</f>
        <v/>
      </c>
      <c r="D10" s="66"/>
      <c r="E10" s="66" t="str">
        <f>_xlfn.IFNA(VLOOKUP(Table1[[#This Row],[Asset Reference
 (Well license facility code, pipeline '# or disposition '#)]],'well report'!$D$5:$X$999,8,FALSE),"")</f>
        <v/>
      </c>
      <c r="F10" s="66" t="str">
        <f>_xlfn.IFNA(VLOOKUP(Table1[[#This Row],[Asset Reference
 (Well license facility code, pipeline '# or disposition '#)]],'well report'!$D$5:$X$999,5,FALSE),"")</f>
        <v/>
      </c>
      <c r="G10" s="66"/>
      <c r="H10" s="67"/>
      <c r="I10" s="68"/>
      <c r="J10" s="127"/>
      <c r="K10" s="69"/>
      <c r="L10" s="129"/>
      <c r="M10" s="135"/>
      <c r="N10" s="70"/>
      <c r="O10" s="70"/>
      <c r="P10" s="71"/>
      <c r="Q10" s="70"/>
      <c r="R10" s="111"/>
      <c r="S10" s="72"/>
      <c r="T10" s="153" t="str">
        <f>_xlfn.IFNA(VLOOKUP(Table1[[#This Row],[Asset Reference
 (Well license facility code, pipeline '# or disposition '#)]],'well report'!$D$5:$X$999,3,FALSE),"")</f>
        <v/>
      </c>
      <c r="U10" s="109" t="str">
        <f>_xlfn.IFNA(VLOOKUP(Table1[[#This Row],[Asset Reference
 (Well license facility code, pipeline '# or disposition '#)]],'well report'!$D$5:$X$999,9,FALSE),"")</f>
        <v/>
      </c>
      <c r="V10" s="109" t="str">
        <f>_xlfn.IFNA(VLOOKUP(Table1[[#This Row],[Asset Reference
 (Well license facility code, pipeline '# or disposition '#)]],'well report'!$D$5:$X$999,10,FALSE),"")</f>
        <v/>
      </c>
      <c r="W10" s="73" t="str">
        <f>_xlfn.IFNA(VLOOKUP(Table1[[#This Row],[Asset Reference
 (Well license facility code, pipeline '# or disposition '#)]],'well report'!$D$5:$X$999,20,FALSE),"")</f>
        <v/>
      </c>
      <c r="X10" s="139"/>
      <c r="Y10" s="139"/>
      <c r="Z10" s="137"/>
      <c r="AA10" s="74"/>
      <c r="AB10" s="74"/>
      <c r="AC10" s="75"/>
      <c r="AD10" s="130"/>
      <c r="AE10" s="75"/>
      <c r="AF10" s="75"/>
      <c r="AG10" s="76"/>
      <c r="AH10" s="77"/>
      <c r="AI10" s="77"/>
      <c r="AJ10" s="132"/>
      <c r="AK10" s="78"/>
      <c r="AL10" s="112"/>
      <c r="AM10" s="206"/>
      <c r="AN10" s="206"/>
      <c r="AO10" s="79"/>
      <c r="AP10" s="165"/>
      <c r="AQ10" s="165"/>
      <c r="AR10" s="165"/>
      <c r="AS10" s="165"/>
      <c r="AT10" s="79"/>
      <c r="AU10" s="141"/>
      <c r="AV10" s="141"/>
      <c r="AW10" s="141"/>
      <c r="AX10" s="145"/>
      <c r="AY10" s="143"/>
      <c r="AZ10" s="80"/>
      <c r="BA10" s="81"/>
      <c r="BB10" s="82"/>
      <c r="BC10" s="141"/>
      <c r="BD10" s="141"/>
      <c r="BE10" s="141"/>
      <c r="BF10" s="141"/>
      <c r="BG10" s="141"/>
      <c r="BH10" s="141"/>
      <c r="BI10" s="141"/>
      <c r="BJ10" s="82"/>
      <c r="BK10" s="207"/>
      <c r="BL10" s="83"/>
      <c r="BM10" s="84"/>
      <c r="BN10" s="84"/>
      <c r="BO10" s="85"/>
      <c r="BP10" s="85"/>
      <c r="BQ10" s="85"/>
      <c r="BR10" s="85"/>
      <c r="BS10" s="86"/>
      <c r="BT10" s="86"/>
      <c r="BU10" s="86"/>
      <c r="BV10" s="87"/>
      <c r="BW10" s="146"/>
      <c r="BX10" s="87"/>
      <c r="BY10" s="146"/>
      <c r="BZ10" s="87"/>
      <c r="CA10" s="146"/>
      <c r="CB10" s="87"/>
      <c r="CC10" s="146"/>
      <c r="CD10" s="87"/>
      <c r="CE10" s="146"/>
      <c r="CF10" s="87"/>
      <c r="CG10" s="146"/>
      <c r="CH10" s="88"/>
      <c r="CI10" s="89"/>
      <c r="CJ10" s="176"/>
      <c r="CK10" s="88"/>
      <c r="CL10" s="199"/>
      <c r="CM10" s="200"/>
      <c r="CN10" s="199"/>
      <c r="CO10" s="199"/>
      <c r="CP10" s="199"/>
      <c r="CQ10" s="203"/>
      <c r="CR10" s="203"/>
      <c r="CS10" s="203"/>
      <c r="CT10" s="203"/>
      <c r="CU10" s="203"/>
      <c r="CV10" s="203"/>
      <c r="CW10" s="204"/>
      <c r="CX10" s="205"/>
    </row>
    <row r="11" spans="2:102" s="2" customFormat="1" ht="43.95" customHeight="1" x14ac:dyDescent="0.3">
      <c r="B11" s="124"/>
      <c r="C11" s="66" t="str">
        <f>_xlfn.IFNA(VLOOKUP(Table1[[#This Row],[Asset Reference
 (Well license facility code, pipeline '# or disposition '#)]],'well report'!$D$5:$X$999,3,FALSE),"")</f>
        <v/>
      </c>
      <c r="D11" s="66"/>
      <c r="E11" s="66" t="str">
        <f>_xlfn.IFNA(VLOOKUP(Table1[[#This Row],[Asset Reference
 (Well license facility code, pipeline '# or disposition '#)]],'well report'!$D$5:$X$999,8,FALSE),"")</f>
        <v/>
      </c>
      <c r="F11" s="66" t="str">
        <f>_xlfn.IFNA(VLOOKUP(Table1[[#This Row],[Asset Reference
 (Well license facility code, pipeline '# or disposition '#)]],'well report'!$D$5:$X$999,5,FALSE),"")</f>
        <v/>
      </c>
      <c r="G11" s="66"/>
      <c r="H11" s="67"/>
      <c r="I11" s="68"/>
      <c r="J11" s="127"/>
      <c r="K11" s="69"/>
      <c r="L11" s="129"/>
      <c r="M11" s="135"/>
      <c r="N11" s="70"/>
      <c r="O11" s="70"/>
      <c r="P11" s="71"/>
      <c r="Q11" s="70"/>
      <c r="R11" s="111"/>
      <c r="S11" s="72"/>
      <c r="T11" s="153" t="str">
        <f>_xlfn.IFNA(VLOOKUP(Table1[[#This Row],[Asset Reference
 (Well license facility code, pipeline '# or disposition '#)]],'well report'!$D$5:$X$999,3,FALSE),"")</f>
        <v/>
      </c>
      <c r="U11" s="109" t="str">
        <f>_xlfn.IFNA(VLOOKUP(Table1[[#This Row],[Asset Reference
 (Well license facility code, pipeline '# or disposition '#)]],'well report'!$D$5:$X$999,9,FALSE),"")</f>
        <v/>
      </c>
      <c r="V11" s="109" t="str">
        <f>_xlfn.IFNA(VLOOKUP(Table1[[#This Row],[Asset Reference
 (Well license facility code, pipeline '# or disposition '#)]],'well report'!$D$5:$X$999,10,FALSE),"")</f>
        <v/>
      </c>
      <c r="W11" s="73" t="str">
        <f>_xlfn.IFNA(VLOOKUP(Table1[[#This Row],[Asset Reference
 (Well license facility code, pipeline '# or disposition '#)]],'well report'!$D$5:$X$999,20,FALSE),"")</f>
        <v/>
      </c>
      <c r="X11" s="139"/>
      <c r="Y11" s="139"/>
      <c r="Z11" s="137"/>
      <c r="AA11" s="74"/>
      <c r="AB11" s="74"/>
      <c r="AC11" s="75"/>
      <c r="AD11" s="130"/>
      <c r="AE11" s="75"/>
      <c r="AF11" s="75"/>
      <c r="AG11" s="76"/>
      <c r="AH11" s="77"/>
      <c r="AI11" s="77"/>
      <c r="AJ11" s="132"/>
      <c r="AK11" s="78"/>
      <c r="AL11" s="112"/>
      <c r="AM11" s="206"/>
      <c r="AN11" s="206"/>
      <c r="AO11" s="79"/>
      <c r="AP11" s="165"/>
      <c r="AQ11" s="165"/>
      <c r="AR11" s="165"/>
      <c r="AS11" s="165"/>
      <c r="AT11" s="79"/>
      <c r="AU11" s="141"/>
      <c r="AV11" s="141"/>
      <c r="AW11" s="141"/>
      <c r="AX11" s="145"/>
      <c r="AY11" s="143"/>
      <c r="AZ11" s="80"/>
      <c r="BA11" s="81"/>
      <c r="BB11" s="82"/>
      <c r="BC11" s="141"/>
      <c r="BD11" s="141"/>
      <c r="BE11" s="141"/>
      <c r="BF11" s="141"/>
      <c r="BG11" s="141"/>
      <c r="BH11" s="141"/>
      <c r="BI11" s="141"/>
      <c r="BJ11" s="82"/>
      <c r="BK11" s="207"/>
      <c r="BL11" s="83"/>
      <c r="BM11" s="84"/>
      <c r="BN11" s="84"/>
      <c r="BO11" s="85"/>
      <c r="BP11" s="85"/>
      <c r="BQ11" s="85"/>
      <c r="BR11" s="85"/>
      <c r="BS11" s="86"/>
      <c r="BT11" s="86"/>
      <c r="BU11" s="86"/>
      <c r="BV11" s="87"/>
      <c r="BW11" s="146"/>
      <c r="BX11" s="87"/>
      <c r="BY11" s="146"/>
      <c r="BZ11" s="87"/>
      <c r="CA11" s="146"/>
      <c r="CB11" s="87"/>
      <c r="CC11" s="146"/>
      <c r="CD11" s="87"/>
      <c r="CE11" s="146"/>
      <c r="CF11" s="87"/>
      <c r="CG11" s="146"/>
      <c r="CH11" s="88"/>
      <c r="CI11" s="89"/>
      <c r="CJ11" s="176"/>
      <c r="CK11" s="88"/>
      <c r="CL11" s="199"/>
      <c r="CM11" s="200"/>
      <c r="CN11" s="199"/>
      <c r="CO11" s="199"/>
      <c r="CP11" s="199"/>
      <c r="CQ11" s="203"/>
      <c r="CR11" s="203"/>
      <c r="CS11" s="203"/>
      <c r="CT11" s="203"/>
      <c r="CU11" s="203"/>
      <c r="CV11" s="203"/>
      <c r="CW11" s="204"/>
      <c r="CX11" s="205"/>
    </row>
    <row r="12" spans="2:102" s="2" customFormat="1" ht="43.95" customHeight="1" x14ac:dyDescent="0.3">
      <c r="B12" s="124"/>
      <c r="C12" s="66" t="str">
        <f>_xlfn.IFNA(VLOOKUP(Table1[[#This Row],[Asset Reference
 (Well license facility code, pipeline '# or disposition '#)]],'well report'!$D$5:$X$999,3,FALSE),"")</f>
        <v/>
      </c>
      <c r="D12" s="66"/>
      <c r="E12" s="66" t="str">
        <f>_xlfn.IFNA(VLOOKUP(Table1[[#This Row],[Asset Reference
 (Well license facility code, pipeline '# or disposition '#)]],'well report'!$D$5:$X$999,8,FALSE),"")</f>
        <v/>
      </c>
      <c r="F12" s="66" t="str">
        <f>_xlfn.IFNA(VLOOKUP(Table1[[#This Row],[Asset Reference
 (Well license facility code, pipeline '# or disposition '#)]],'well report'!$D$5:$X$999,5,FALSE),"")</f>
        <v/>
      </c>
      <c r="G12" s="66"/>
      <c r="H12" s="67"/>
      <c r="I12" s="68"/>
      <c r="J12" s="127"/>
      <c r="K12" s="69"/>
      <c r="L12" s="129"/>
      <c r="M12" s="135"/>
      <c r="N12" s="70"/>
      <c r="O12" s="70"/>
      <c r="P12" s="71"/>
      <c r="Q12" s="70"/>
      <c r="R12" s="111"/>
      <c r="S12" s="72"/>
      <c r="T12" s="153" t="str">
        <f>_xlfn.IFNA(VLOOKUP(Table1[[#This Row],[Asset Reference
 (Well license facility code, pipeline '# or disposition '#)]],'well report'!$D$5:$X$999,3,FALSE),"")</f>
        <v/>
      </c>
      <c r="U12" s="109" t="str">
        <f>_xlfn.IFNA(VLOOKUP(Table1[[#This Row],[Asset Reference
 (Well license facility code, pipeline '# or disposition '#)]],'well report'!$D$5:$X$999,9,FALSE),"")</f>
        <v/>
      </c>
      <c r="V12" s="109" t="str">
        <f>_xlfn.IFNA(VLOOKUP(Table1[[#This Row],[Asset Reference
 (Well license facility code, pipeline '# or disposition '#)]],'well report'!$D$5:$X$999,10,FALSE),"")</f>
        <v/>
      </c>
      <c r="W12" s="73" t="str">
        <f>_xlfn.IFNA(VLOOKUP(Table1[[#This Row],[Asset Reference
 (Well license facility code, pipeline '# or disposition '#)]],'well report'!$D$5:$X$999,20,FALSE),"")</f>
        <v/>
      </c>
      <c r="X12" s="139"/>
      <c r="Y12" s="139"/>
      <c r="Z12" s="137"/>
      <c r="AA12" s="74"/>
      <c r="AB12" s="74"/>
      <c r="AC12" s="75"/>
      <c r="AD12" s="130"/>
      <c r="AE12" s="75"/>
      <c r="AF12" s="75"/>
      <c r="AG12" s="76"/>
      <c r="AH12" s="77"/>
      <c r="AI12" s="77"/>
      <c r="AJ12" s="132"/>
      <c r="AK12" s="78"/>
      <c r="AL12" s="112"/>
      <c r="AM12" s="206"/>
      <c r="AN12" s="206"/>
      <c r="AO12" s="79"/>
      <c r="AP12" s="165"/>
      <c r="AQ12" s="165"/>
      <c r="AR12" s="165"/>
      <c r="AS12" s="165"/>
      <c r="AT12" s="79"/>
      <c r="AU12" s="141"/>
      <c r="AV12" s="141"/>
      <c r="AW12" s="141"/>
      <c r="AX12" s="145"/>
      <c r="AY12" s="143"/>
      <c r="AZ12" s="80"/>
      <c r="BA12" s="81"/>
      <c r="BB12" s="82"/>
      <c r="BC12" s="141"/>
      <c r="BD12" s="141"/>
      <c r="BE12" s="141"/>
      <c r="BF12" s="141"/>
      <c r="BG12" s="141"/>
      <c r="BH12" s="141"/>
      <c r="BI12" s="141"/>
      <c r="BJ12" s="82"/>
      <c r="BK12" s="207"/>
      <c r="BL12" s="83"/>
      <c r="BM12" s="84"/>
      <c r="BN12" s="84"/>
      <c r="BO12" s="85"/>
      <c r="BP12" s="85"/>
      <c r="BQ12" s="85"/>
      <c r="BR12" s="85"/>
      <c r="BS12" s="86"/>
      <c r="BT12" s="86"/>
      <c r="BU12" s="86"/>
      <c r="BV12" s="87"/>
      <c r="BW12" s="146"/>
      <c r="BX12" s="87"/>
      <c r="BY12" s="146"/>
      <c r="BZ12" s="87"/>
      <c r="CA12" s="146"/>
      <c r="CB12" s="87"/>
      <c r="CC12" s="146"/>
      <c r="CD12" s="87"/>
      <c r="CE12" s="146"/>
      <c r="CF12" s="87"/>
      <c r="CG12" s="146"/>
      <c r="CH12" s="88"/>
      <c r="CI12" s="89"/>
      <c r="CJ12" s="176"/>
      <c r="CK12" s="88"/>
      <c r="CL12" s="199"/>
      <c r="CM12" s="200"/>
      <c r="CN12" s="199"/>
      <c r="CO12" s="199"/>
      <c r="CP12" s="199"/>
      <c r="CQ12" s="203"/>
      <c r="CR12" s="203"/>
      <c r="CS12" s="203"/>
      <c r="CT12" s="203"/>
      <c r="CU12" s="203"/>
      <c r="CV12" s="203"/>
      <c r="CW12" s="204"/>
      <c r="CX12" s="205"/>
    </row>
    <row r="13" spans="2:102" s="2" customFormat="1" ht="43.95" customHeight="1" x14ac:dyDescent="0.3">
      <c r="B13" s="124"/>
      <c r="C13" s="66" t="str">
        <f>_xlfn.IFNA(VLOOKUP(Table1[[#This Row],[Asset Reference
 (Well license facility code, pipeline '# or disposition '#)]],'well report'!$D$5:$X$999,3,FALSE),"")</f>
        <v/>
      </c>
      <c r="D13" s="66"/>
      <c r="E13" s="66" t="str">
        <f>_xlfn.IFNA(VLOOKUP(Table1[[#This Row],[Asset Reference
 (Well license facility code, pipeline '# or disposition '#)]],'well report'!$D$5:$X$999,8,FALSE),"")</f>
        <v/>
      </c>
      <c r="F13" s="66" t="str">
        <f>_xlfn.IFNA(VLOOKUP(Table1[[#This Row],[Asset Reference
 (Well license facility code, pipeline '# or disposition '#)]],'well report'!$D$5:$X$999,5,FALSE),"")</f>
        <v/>
      </c>
      <c r="G13" s="66"/>
      <c r="H13" s="67"/>
      <c r="I13" s="68"/>
      <c r="J13" s="127"/>
      <c r="K13" s="69"/>
      <c r="L13" s="129"/>
      <c r="M13" s="135"/>
      <c r="N13" s="70"/>
      <c r="O13" s="70"/>
      <c r="P13" s="71"/>
      <c r="Q13" s="70"/>
      <c r="R13" s="111"/>
      <c r="S13" s="72"/>
      <c r="T13" s="153" t="str">
        <f>_xlfn.IFNA(VLOOKUP(Table1[[#This Row],[Asset Reference
 (Well license facility code, pipeline '# or disposition '#)]],'well report'!$D$5:$X$999,3,FALSE),"")</f>
        <v/>
      </c>
      <c r="U13" s="109" t="str">
        <f>_xlfn.IFNA(VLOOKUP(Table1[[#This Row],[Asset Reference
 (Well license facility code, pipeline '# or disposition '#)]],'well report'!$D$5:$X$999,9,FALSE),"")</f>
        <v/>
      </c>
      <c r="V13" s="109" t="str">
        <f>_xlfn.IFNA(VLOOKUP(Table1[[#This Row],[Asset Reference
 (Well license facility code, pipeline '# or disposition '#)]],'well report'!$D$5:$X$999,10,FALSE),"")</f>
        <v/>
      </c>
      <c r="W13" s="73" t="str">
        <f>_xlfn.IFNA(VLOOKUP(Table1[[#This Row],[Asset Reference
 (Well license facility code, pipeline '# or disposition '#)]],'well report'!$D$5:$X$999,20,FALSE),"")</f>
        <v/>
      </c>
      <c r="X13" s="139"/>
      <c r="Y13" s="139"/>
      <c r="Z13" s="137"/>
      <c r="AA13" s="74"/>
      <c r="AB13" s="74"/>
      <c r="AC13" s="75"/>
      <c r="AD13" s="130"/>
      <c r="AE13" s="75"/>
      <c r="AF13" s="75"/>
      <c r="AG13" s="76"/>
      <c r="AH13" s="77"/>
      <c r="AI13" s="77"/>
      <c r="AJ13" s="132"/>
      <c r="AK13" s="78"/>
      <c r="AL13" s="112"/>
      <c r="AM13" s="206"/>
      <c r="AN13" s="206"/>
      <c r="AO13" s="79"/>
      <c r="AP13" s="165"/>
      <c r="AQ13" s="165"/>
      <c r="AR13" s="165"/>
      <c r="AS13" s="165"/>
      <c r="AT13" s="79"/>
      <c r="AU13" s="141"/>
      <c r="AV13" s="141"/>
      <c r="AW13" s="141"/>
      <c r="AX13" s="145"/>
      <c r="AY13" s="143"/>
      <c r="AZ13" s="80"/>
      <c r="BA13" s="81"/>
      <c r="BB13" s="82"/>
      <c r="BC13" s="141"/>
      <c r="BD13" s="141"/>
      <c r="BE13" s="141"/>
      <c r="BF13" s="141"/>
      <c r="BG13" s="141"/>
      <c r="BH13" s="141"/>
      <c r="BI13" s="141"/>
      <c r="BJ13" s="82"/>
      <c r="BK13" s="207"/>
      <c r="BL13" s="83"/>
      <c r="BM13" s="84"/>
      <c r="BN13" s="84"/>
      <c r="BO13" s="85"/>
      <c r="BP13" s="85"/>
      <c r="BQ13" s="85"/>
      <c r="BR13" s="85"/>
      <c r="BS13" s="86"/>
      <c r="BT13" s="86"/>
      <c r="BU13" s="86"/>
      <c r="BV13" s="87"/>
      <c r="BW13" s="146"/>
      <c r="BX13" s="87"/>
      <c r="BY13" s="146"/>
      <c r="BZ13" s="87"/>
      <c r="CA13" s="146"/>
      <c r="CB13" s="87"/>
      <c r="CC13" s="146"/>
      <c r="CD13" s="87"/>
      <c r="CE13" s="146"/>
      <c r="CF13" s="87"/>
      <c r="CG13" s="146"/>
      <c r="CH13" s="88"/>
      <c r="CI13" s="89"/>
      <c r="CJ13" s="176"/>
      <c r="CK13" s="88"/>
      <c r="CL13" s="199"/>
      <c r="CM13" s="200"/>
      <c r="CN13" s="199"/>
      <c r="CO13" s="199"/>
      <c r="CP13" s="199"/>
      <c r="CQ13" s="203"/>
      <c r="CR13" s="203"/>
      <c r="CS13" s="203"/>
      <c r="CT13" s="203"/>
      <c r="CU13" s="203"/>
      <c r="CV13" s="203"/>
      <c r="CW13" s="204"/>
      <c r="CX13" s="205"/>
    </row>
    <row r="14" spans="2:102" s="2" customFormat="1" ht="43.95" customHeight="1" x14ac:dyDescent="0.3">
      <c r="B14" s="124"/>
      <c r="C14" s="66" t="str">
        <f>_xlfn.IFNA(VLOOKUP(Table1[[#This Row],[Asset Reference
 (Well license facility code, pipeline '# or disposition '#)]],'well report'!$D$5:$X$999,3,FALSE),"")</f>
        <v/>
      </c>
      <c r="D14" s="66"/>
      <c r="E14" s="66" t="str">
        <f>_xlfn.IFNA(VLOOKUP(Table1[[#This Row],[Asset Reference
 (Well license facility code, pipeline '# or disposition '#)]],'well report'!$D$5:$X$999,8,FALSE),"")</f>
        <v/>
      </c>
      <c r="F14" s="66" t="str">
        <f>_xlfn.IFNA(VLOOKUP(Table1[[#This Row],[Asset Reference
 (Well license facility code, pipeline '# or disposition '#)]],'well report'!$D$5:$X$999,5,FALSE),"")</f>
        <v/>
      </c>
      <c r="G14" s="66"/>
      <c r="H14" s="67"/>
      <c r="I14" s="68"/>
      <c r="J14" s="127"/>
      <c r="K14" s="69"/>
      <c r="L14" s="129"/>
      <c r="M14" s="135"/>
      <c r="N14" s="70"/>
      <c r="O14" s="70"/>
      <c r="P14" s="71"/>
      <c r="Q14" s="70"/>
      <c r="R14" s="111"/>
      <c r="S14" s="72"/>
      <c r="T14" s="153" t="str">
        <f>_xlfn.IFNA(VLOOKUP(Table1[[#This Row],[Asset Reference
 (Well license facility code, pipeline '# or disposition '#)]],'well report'!$D$5:$X$999,3,FALSE),"")</f>
        <v/>
      </c>
      <c r="U14" s="109" t="str">
        <f>_xlfn.IFNA(VLOOKUP(Table1[[#This Row],[Asset Reference
 (Well license facility code, pipeline '# or disposition '#)]],'well report'!$D$5:$X$999,9,FALSE),"")</f>
        <v/>
      </c>
      <c r="V14" s="109" t="str">
        <f>_xlfn.IFNA(VLOOKUP(Table1[[#This Row],[Asset Reference
 (Well license facility code, pipeline '# or disposition '#)]],'well report'!$D$5:$X$999,10,FALSE),"")</f>
        <v/>
      </c>
      <c r="W14" s="73" t="str">
        <f>_xlfn.IFNA(VLOOKUP(Table1[[#This Row],[Asset Reference
 (Well license facility code, pipeline '# or disposition '#)]],'well report'!$D$5:$X$999,20,FALSE),"")</f>
        <v/>
      </c>
      <c r="X14" s="139"/>
      <c r="Y14" s="139"/>
      <c r="Z14" s="137"/>
      <c r="AA14" s="74"/>
      <c r="AB14" s="74"/>
      <c r="AC14" s="75"/>
      <c r="AD14" s="130"/>
      <c r="AE14" s="75"/>
      <c r="AF14" s="75"/>
      <c r="AG14" s="76"/>
      <c r="AH14" s="77"/>
      <c r="AI14" s="77"/>
      <c r="AJ14" s="132"/>
      <c r="AK14" s="78"/>
      <c r="AL14" s="112"/>
      <c r="AM14" s="206"/>
      <c r="AN14" s="206"/>
      <c r="AO14" s="79"/>
      <c r="AP14" s="165"/>
      <c r="AQ14" s="165"/>
      <c r="AR14" s="165"/>
      <c r="AS14" s="165"/>
      <c r="AT14" s="79"/>
      <c r="AU14" s="141"/>
      <c r="AV14" s="141"/>
      <c r="AW14" s="141"/>
      <c r="AX14" s="145"/>
      <c r="AY14" s="143"/>
      <c r="AZ14" s="80"/>
      <c r="BA14" s="81"/>
      <c r="BB14" s="82"/>
      <c r="BC14" s="141"/>
      <c r="BD14" s="141"/>
      <c r="BE14" s="141"/>
      <c r="BF14" s="141"/>
      <c r="BG14" s="141"/>
      <c r="BH14" s="141"/>
      <c r="BI14" s="141"/>
      <c r="BJ14" s="82"/>
      <c r="BK14" s="207"/>
      <c r="BL14" s="83"/>
      <c r="BM14" s="84"/>
      <c r="BN14" s="84"/>
      <c r="BO14" s="85"/>
      <c r="BP14" s="85"/>
      <c r="BQ14" s="85"/>
      <c r="BR14" s="85"/>
      <c r="BS14" s="86"/>
      <c r="BT14" s="86"/>
      <c r="BU14" s="86"/>
      <c r="BV14" s="87"/>
      <c r="BW14" s="146"/>
      <c r="BX14" s="87"/>
      <c r="BY14" s="146"/>
      <c r="BZ14" s="87"/>
      <c r="CA14" s="146"/>
      <c r="CB14" s="87"/>
      <c r="CC14" s="146"/>
      <c r="CD14" s="87"/>
      <c r="CE14" s="146"/>
      <c r="CF14" s="87"/>
      <c r="CG14" s="146"/>
      <c r="CH14" s="88"/>
      <c r="CI14" s="89"/>
      <c r="CJ14" s="176"/>
      <c r="CK14" s="88"/>
      <c r="CL14" s="199"/>
      <c r="CM14" s="200"/>
      <c r="CN14" s="199"/>
      <c r="CO14" s="199"/>
      <c r="CP14" s="199"/>
      <c r="CQ14" s="203"/>
      <c r="CR14" s="203"/>
      <c r="CS14" s="203"/>
      <c r="CT14" s="203"/>
      <c r="CU14" s="203"/>
      <c r="CV14" s="203"/>
      <c r="CW14" s="204"/>
      <c r="CX14" s="205"/>
    </row>
    <row r="15" spans="2:102" s="2" customFormat="1" ht="43.95" customHeight="1" x14ac:dyDescent="0.3">
      <c r="B15" s="124"/>
      <c r="C15" s="66" t="str">
        <f>_xlfn.IFNA(VLOOKUP(Table1[[#This Row],[Asset Reference
 (Well license facility code, pipeline '# or disposition '#)]],'well report'!$D$5:$X$999,3,FALSE),"")</f>
        <v/>
      </c>
      <c r="D15" s="66"/>
      <c r="E15" s="66" t="str">
        <f>_xlfn.IFNA(VLOOKUP(Table1[[#This Row],[Asset Reference
 (Well license facility code, pipeline '# or disposition '#)]],'well report'!$D$5:$X$999,8,FALSE),"")</f>
        <v/>
      </c>
      <c r="F15" s="66" t="str">
        <f>_xlfn.IFNA(VLOOKUP(Table1[[#This Row],[Asset Reference
 (Well license facility code, pipeline '# or disposition '#)]],'well report'!$D$5:$X$999,5,FALSE),"")</f>
        <v/>
      </c>
      <c r="G15" s="66"/>
      <c r="H15" s="67"/>
      <c r="I15" s="68"/>
      <c r="J15" s="127"/>
      <c r="K15" s="69"/>
      <c r="L15" s="129"/>
      <c r="M15" s="135"/>
      <c r="N15" s="70"/>
      <c r="O15" s="70"/>
      <c r="P15" s="71"/>
      <c r="Q15" s="70"/>
      <c r="R15" s="111"/>
      <c r="S15" s="72"/>
      <c r="T15" s="153" t="str">
        <f>_xlfn.IFNA(VLOOKUP(Table1[[#This Row],[Asset Reference
 (Well license facility code, pipeline '# or disposition '#)]],'well report'!$D$5:$X$999,3,FALSE),"")</f>
        <v/>
      </c>
      <c r="U15" s="109" t="str">
        <f>_xlfn.IFNA(VLOOKUP(Table1[[#This Row],[Asset Reference
 (Well license facility code, pipeline '# or disposition '#)]],'well report'!$D$5:$X$999,9,FALSE),"")</f>
        <v/>
      </c>
      <c r="V15" s="109" t="str">
        <f>_xlfn.IFNA(VLOOKUP(Table1[[#This Row],[Asset Reference
 (Well license facility code, pipeline '# or disposition '#)]],'well report'!$D$5:$X$999,10,FALSE),"")</f>
        <v/>
      </c>
      <c r="W15" s="73" t="str">
        <f>_xlfn.IFNA(VLOOKUP(Table1[[#This Row],[Asset Reference
 (Well license facility code, pipeline '# or disposition '#)]],'well report'!$D$5:$X$999,20,FALSE),"")</f>
        <v/>
      </c>
      <c r="X15" s="139"/>
      <c r="Y15" s="139"/>
      <c r="Z15" s="137"/>
      <c r="AA15" s="74"/>
      <c r="AB15" s="74"/>
      <c r="AC15" s="75"/>
      <c r="AD15" s="130"/>
      <c r="AE15" s="75"/>
      <c r="AF15" s="75"/>
      <c r="AG15" s="76"/>
      <c r="AH15" s="77"/>
      <c r="AI15" s="77"/>
      <c r="AJ15" s="132"/>
      <c r="AK15" s="78"/>
      <c r="AL15" s="112"/>
      <c r="AM15" s="206"/>
      <c r="AN15" s="206"/>
      <c r="AO15" s="79"/>
      <c r="AP15" s="165"/>
      <c r="AQ15" s="165"/>
      <c r="AR15" s="165"/>
      <c r="AS15" s="165"/>
      <c r="AT15" s="79"/>
      <c r="AU15" s="141"/>
      <c r="AV15" s="141"/>
      <c r="AW15" s="141"/>
      <c r="AX15" s="145"/>
      <c r="AY15" s="143"/>
      <c r="AZ15" s="80"/>
      <c r="BA15" s="81"/>
      <c r="BB15" s="82"/>
      <c r="BC15" s="141"/>
      <c r="BD15" s="141"/>
      <c r="BE15" s="141"/>
      <c r="BF15" s="141"/>
      <c r="BG15" s="141"/>
      <c r="BH15" s="141"/>
      <c r="BI15" s="141"/>
      <c r="BJ15" s="82"/>
      <c r="BK15" s="207"/>
      <c r="BL15" s="83"/>
      <c r="BM15" s="84"/>
      <c r="BN15" s="84"/>
      <c r="BO15" s="85"/>
      <c r="BP15" s="85"/>
      <c r="BQ15" s="85"/>
      <c r="BR15" s="85"/>
      <c r="BS15" s="86"/>
      <c r="BT15" s="86"/>
      <c r="BU15" s="86"/>
      <c r="BV15" s="87"/>
      <c r="BW15" s="146"/>
      <c r="BX15" s="87"/>
      <c r="BY15" s="146"/>
      <c r="BZ15" s="87"/>
      <c r="CA15" s="146"/>
      <c r="CB15" s="87"/>
      <c r="CC15" s="146"/>
      <c r="CD15" s="87"/>
      <c r="CE15" s="146"/>
      <c r="CF15" s="87"/>
      <c r="CG15" s="146"/>
      <c r="CH15" s="88"/>
      <c r="CI15" s="89"/>
      <c r="CJ15" s="176"/>
      <c r="CK15" s="88"/>
      <c r="CL15" s="199"/>
      <c r="CM15" s="200"/>
      <c r="CN15" s="199"/>
      <c r="CO15" s="199"/>
      <c r="CP15" s="199"/>
      <c r="CQ15" s="203"/>
      <c r="CR15" s="203"/>
      <c r="CS15" s="203"/>
      <c r="CT15" s="203"/>
      <c r="CU15" s="203"/>
      <c r="CV15" s="203"/>
      <c r="CW15" s="204"/>
      <c r="CX15" s="205"/>
    </row>
    <row r="16" spans="2:102" s="2" customFormat="1" ht="43.95" customHeight="1" x14ac:dyDescent="0.3">
      <c r="B16" s="124"/>
      <c r="C16" s="66" t="str">
        <f>_xlfn.IFNA(VLOOKUP(Table1[[#This Row],[Asset Reference
 (Well license facility code, pipeline '# or disposition '#)]],'well report'!$D$5:$X$999,3,FALSE),"")</f>
        <v/>
      </c>
      <c r="D16" s="66"/>
      <c r="E16" s="66" t="str">
        <f>_xlfn.IFNA(VLOOKUP(Table1[[#This Row],[Asset Reference
 (Well license facility code, pipeline '# or disposition '#)]],'well report'!$D$5:$X$999,8,FALSE),"")</f>
        <v/>
      </c>
      <c r="F16" s="66" t="str">
        <f>_xlfn.IFNA(VLOOKUP(Table1[[#This Row],[Asset Reference
 (Well license facility code, pipeline '# or disposition '#)]],'well report'!$D$5:$X$999,5,FALSE),"")</f>
        <v/>
      </c>
      <c r="G16" s="66"/>
      <c r="H16" s="67"/>
      <c r="I16" s="68"/>
      <c r="J16" s="127"/>
      <c r="K16" s="69"/>
      <c r="L16" s="129"/>
      <c r="M16" s="135"/>
      <c r="N16" s="70"/>
      <c r="O16" s="70"/>
      <c r="P16" s="71"/>
      <c r="Q16" s="70"/>
      <c r="R16" s="111"/>
      <c r="S16" s="72"/>
      <c r="T16" s="153" t="str">
        <f>_xlfn.IFNA(VLOOKUP(Table1[[#This Row],[Asset Reference
 (Well license facility code, pipeline '# or disposition '#)]],'well report'!$D$5:$X$999,3,FALSE),"")</f>
        <v/>
      </c>
      <c r="U16" s="109" t="str">
        <f>_xlfn.IFNA(VLOOKUP(Table1[[#This Row],[Asset Reference
 (Well license facility code, pipeline '# or disposition '#)]],'well report'!$D$5:$X$999,9,FALSE),"")</f>
        <v/>
      </c>
      <c r="V16" s="109" t="str">
        <f>_xlfn.IFNA(VLOOKUP(Table1[[#This Row],[Asset Reference
 (Well license facility code, pipeline '# or disposition '#)]],'well report'!$D$5:$X$999,10,FALSE),"")</f>
        <v/>
      </c>
      <c r="W16" s="73" t="str">
        <f>_xlfn.IFNA(VLOOKUP(Table1[[#This Row],[Asset Reference
 (Well license facility code, pipeline '# or disposition '#)]],'well report'!$D$5:$X$999,20,FALSE),"")</f>
        <v/>
      </c>
      <c r="X16" s="139"/>
      <c r="Y16" s="139"/>
      <c r="Z16" s="137"/>
      <c r="AA16" s="74"/>
      <c r="AB16" s="74"/>
      <c r="AC16" s="75"/>
      <c r="AD16" s="130"/>
      <c r="AE16" s="75"/>
      <c r="AF16" s="75"/>
      <c r="AG16" s="76"/>
      <c r="AH16" s="77"/>
      <c r="AI16" s="77"/>
      <c r="AJ16" s="132"/>
      <c r="AK16" s="78"/>
      <c r="AL16" s="112"/>
      <c r="AM16" s="206"/>
      <c r="AN16" s="206"/>
      <c r="AO16" s="79"/>
      <c r="AP16" s="165"/>
      <c r="AQ16" s="165"/>
      <c r="AR16" s="165"/>
      <c r="AS16" s="165"/>
      <c r="AT16" s="79"/>
      <c r="AU16" s="141"/>
      <c r="AV16" s="141"/>
      <c r="AW16" s="141"/>
      <c r="AX16" s="145"/>
      <c r="AY16" s="143"/>
      <c r="AZ16" s="80"/>
      <c r="BA16" s="81"/>
      <c r="BB16" s="82"/>
      <c r="BC16" s="141"/>
      <c r="BD16" s="141"/>
      <c r="BE16" s="141"/>
      <c r="BF16" s="141"/>
      <c r="BG16" s="141"/>
      <c r="BH16" s="141"/>
      <c r="BI16" s="141"/>
      <c r="BJ16" s="82"/>
      <c r="BK16" s="207"/>
      <c r="BL16" s="83"/>
      <c r="BM16" s="84"/>
      <c r="BN16" s="84"/>
      <c r="BO16" s="85"/>
      <c r="BP16" s="85"/>
      <c r="BQ16" s="85"/>
      <c r="BR16" s="85"/>
      <c r="BS16" s="86"/>
      <c r="BT16" s="86"/>
      <c r="BU16" s="86"/>
      <c r="BV16" s="87"/>
      <c r="BW16" s="146"/>
      <c r="BX16" s="87"/>
      <c r="BY16" s="146"/>
      <c r="BZ16" s="87"/>
      <c r="CA16" s="146"/>
      <c r="CB16" s="87"/>
      <c r="CC16" s="146"/>
      <c r="CD16" s="87"/>
      <c r="CE16" s="146"/>
      <c r="CF16" s="87"/>
      <c r="CG16" s="146"/>
      <c r="CH16" s="88"/>
      <c r="CI16" s="89"/>
      <c r="CJ16" s="176"/>
      <c r="CK16" s="88"/>
      <c r="CL16" s="199"/>
      <c r="CM16" s="200"/>
      <c r="CN16" s="199"/>
      <c r="CO16" s="199"/>
      <c r="CP16" s="199"/>
      <c r="CQ16" s="203"/>
      <c r="CR16" s="203"/>
      <c r="CS16" s="203"/>
      <c r="CT16" s="203"/>
      <c r="CU16" s="203"/>
      <c r="CV16" s="203"/>
      <c r="CW16" s="204"/>
      <c r="CX16" s="205"/>
    </row>
    <row r="17" spans="2:102" s="2" customFormat="1" ht="43.95" customHeight="1" x14ac:dyDescent="0.3">
      <c r="B17" s="124"/>
      <c r="C17" s="66" t="str">
        <f>_xlfn.IFNA(VLOOKUP(Table1[[#This Row],[Asset Reference
 (Well license facility code, pipeline '# or disposition '#)]],'well report'!$D$5:$X$999,3,FALSE),"")</f>
        <v/>
      </c>
      <c r="D17" s="66"/>
      <c r="E17" s="66" t="str">
        <f>_xlfn.IFNA(VLOOKUP(Table1[[#This Row],[Asset Reference
 (Well license facility code, pipeline '# or disposition '#)]],'well report'!$D$5:$X$999,8,FALSE),"")</f>
        <v/>
      </c>
      <c r="F17" s="66" t="str">
        <f>_xlfn.IFNA(VLOOKUP(Table1[[#This Row],[Asset Reference
 (Well license facility code, pipeline '# or disposition '#)]],'well report'!$D$5:$X$999,5,FALSE),"")</f>
        <v/>
      </c>
      <c r="G17" s="66"/>
      <c r="H17" s="67"/>
      <c r="I17" s="68"/>
      <c r="J17" s="127"/>
      <c r="K17" s="69"/>
      <c r="L17" s="129"/>
      <c r="M17" s="135"/>
      <c r="N17" s="70"/>
      <c r="O17" s="70"/>
      <c r="P17" s="71"/>
      <c r="Q17" s="70"/>
      <c r="R17" s="111"/>
      <c r="S17" s="72"/>
      <c r="T17" s="153" t="str">
        <f>_xlfn.IFNA(VLOOKUP(Table1[[#This Row],[Asset Reference
 (Well license facility code, pipeline '# or disposition '#)]],'well report'!$D$5:$X$999,3,FALSE),"")</f>
        <v/>
      </c>
      <c r="U17" s="109" t="str">
        <f>_xlfn.IFNA(VLOOKUP(Table1[[#This Row],[Asset Reference
 (Well license facility code, pipeline '# or disposition '#)]],'well report'!$D$5:$X$999,9,FALSE),"")</f>
        <v/>
      </c>
      <c r="V17" s="109" t="str">
        <f>_xlfn.IFNA(VLOOKUP(Table1[[#This Row],[Asset Reference
 (Well license facility code, pipeline '# or disposition '#)]],'well report'!$D$5:$X$999,10,FALSE),"")</f>
        <v/>
      </c>
      <c r="W17" s="73" t="str">
        <f>_xlfn.IFNA(VLOOKUP(Table1[[#This Row],[Asset Reference
 (Well license facility code, pipeline '# or disposition '#)]],'well report'!$D$5:$X$999,20,FALSE),"")</f>
        <v/>
      </c>
      <c r="X17" s="139"/>
      <c r="Y17" s="139"/>
      <c r="Z17" s="137"/>
      <c r="AA17" s="74"/>
      <c r="AB17" s="74"/>
      <c r="AC17" s="75"/>
      <c r="AD17" s="130"/>
      <c r="AE17" s="75"/>
      <c r="AF17" s="75"/>
      <c r="AG17" s="76"/>
      <c r="AH17" s="77"/>
      <c r="AI17" s="77"/>
      <c r="AJ17" s="132"/>
      <c r="AK17" s="78"/>
      <c r="AL17" s="112"/>
      <c r="AM17" s="206"/>
      <c r="AN17" s="206"/>
      <c r="AO17" s="79"/>
      <c r="AP17" s="165"/>
      <c r="AQ17" s="165"/>
      <c r="AR17" s="165"/>
      <c r="AS17" s="165"/>
      <c r="AT17" s="79"/>
      <c r="AU17" s="141"/>
      <c r="AV17" s="141"/>
      <c r="AW17" s="141"/>
      <c r="AX17" s="145"/>
      <c r="AY17" s="143"/>
      <c r="AZ17" s="80"/>
      <c r="BA17" s="81"/>
      <c r="BB17" s="82"/>
      <c r="BC17" s="141"/>
      <c r="BD17" s="141"/>
      <c r="BE17" s="141"/>
      <c r="BF17" s="141"/>
      <c r="BG17" s="141"/>
      <c r="BH17" s="141"/>
      <c r="BI17" s="141"/>
      <c r="BJ17" s="82"/>
      <c r="BK17" s="207"/>
      <c r="BL17" s="83"/>
      <c r="BM17" s="84"/>
      <c r="BN17" s="84"/>
      <c r="BO17" s="85"/>
      <c r="BP17" s="85"/>
      <c r="BQ17" s="85"/>
      <c r="BR17" s="85"/>
      <c r="BS17" s="86"/>
      <c r="BT17" s="86"/>
      <c r="BU17" s="86"/>
      <c r="BV17" s="87"/>
      <c r="BW17" s="146"/>
      <c r="BX17" s="87"/>
      <c r="BY17" s="146"/>
      <c r="BZ17" s="87"/>
      <c r="CA17" s="146"/>
      <c r="CB17" s="87"/>
      <c r="CC17" s="146"/>
      <c r="CD17" s="87"/>
      <c r="CE17" s="146"/>
      <c r="CF17" s="87"/>
      <c r="CG17" s="146"/>
      <c r="CH17" s="88"/>
      <c r="CI17" s="89"/>
      <c r="CJ17" s="176"/>
      <c r="CK17" s="88"/>
      <c r="CL17" s="199"/>
      <c r="CM17" s="200"/>
      <c r="CN17" s="199"/>
      <c r="CO17" s="199"/>
      <c r="CP17" s="199"/>
      <c r="CQ17" s="203"/>
      <c r="CR17" s="203"/>
      <c r="CS17" s="203"/>
      <c r="CT17" s="203"/>
      <c r="CU17" s="203"/>
      <c r="CV17" s="203"/>
      <c r="CW17" s="204"/>
      <c r="CX17" s="205"/>
    </row>
    <row r="18" spans="2:102" s="2" customFormat="1" ht="43.95" customHeight="1" x14ac:dyDescent="0.3">
      <c r="B18" s="124"/>
      <c r="C18" s="66" t="str">
        <f>_xlfn.IFNA(VLOOKUP(Table1[[#This Row],[Asset Reference
 (Well license facility code, pipeline '# or disposition '#)]],'well report'!$D$5:$X$999,3,FALSE),"")</f>
        <v/>
      </c>
      <c r="D18" s="66"/>
      <c r="E18" s="66" t="str">
        <f>_xlfn.IFNA(VLOOKUP(Table1[[#This Row],[Asset Reference
 (Well license facility code, pipeline '# or disposition '#)]],'well report'!$D$5:$X$999,8,FALSE),"")</f>
        <v/>
      </c>
      <c r="F18" s="66" t="str">
        <f>_xlfn.IFNA(VLOOKUP(Table1[[#This Row],[Asset Reference
 (Well license facility code, pipeline '# or disposition '#)]],'well report'!$D$5:$X$999,5,FALSE),"")</f>
        <v/>
      </c>
      <c r="G18" s="66"/>
      <c r="H18" s="67"/>
      <c r="I18" s="68"/>
      <c r="J18" s="127"/>
      <c r="K18" s="69"/>
      <c r="L18" s="129"/>
      <c r="M18" s="135"/>
      <c r="N18" s="90"/>
      <c r="O18" s="90"/>
      <c r="P18" s="90"/>
      <c r="Q18" s="90"/>
      <c r="R18" s="91"/>
      <c r="S18" s="91"/>
      <c r="T18" s="153" t="str">
        <f>_xlfn.IFNA(VLOOKUP(Table1[[#This Row],[Asset Reference
 (Well license facility code, pipeline '# or disposition '#)]],'well report'!$D$5:$X$999,3,FALSE),"")</f>
        <v/>
      </c>
      <c r="U18" s="110" t="str">
        <f>_xlfn.IFNA(VLOOKUP(Table1[[#This Row],[Asset Reference
 (Well license facility code, pipeline '# or disposition '#)]],'well report'!$D$5:$X$999,9,FALSE),"")</f>
        <v/>
      </c>
      <c r="V18" s="110" t="str">
        <f>_xlfn.IFNA(VLOOKUP(Table1[[#This Row],[Asset Reference
 (Well license facility code, pipeline '# or disposition '#)]],'well report'!$D$5:$X$999,10,FALSE),"")</f>
        <v/>
      </c>
      <c r="W18" s="92" t="str">
        <f>_xlfn.IFNA(VLOOKUP(Table1[[#This Row],[Asset Reference
 (Well license facility code, pipeline '# or disposition '#)]],'well report'!$D$5:$X$999,20,FALSE),"")</f>
        <v/>
      </c>
      <c r="X18" s="139"/>
      <c r="Y18" s="139"/>
      <c r="Z18" s="137"/>
      <c r="AA18" s="74"/>
      <c r="AB18" s="74"/>
      <c r="AC18" s="75"/>
      <c r="AD18" s="130"/>
      <c r="AE18" s="75"/>
      <c r="AF18" s="75"/>
      <c r="AG18" s="76"/>
      <c r="AH18" s="77"/>
      <c r="AI18" s="77"/>
      <c r="AJ18" s="132"/>
      <c r="AK18" s="78"/>
      <c r="AL18" s="112"/>
      <c r="AM18" s="206"/>
      <c r="AN18" s="206"/>
      <c r="AO18" s="79"/>
      <c r="AP18" s="165"/>
      <c r="AQ18" s="165"/>
      <c r="AR18" s="165"/>
      <c r="AS18" s="165"/>
      <c r="AT18" s="79"/>
      <c r="AU18" s="141"/>
      <c r="AV18" s="141"/>
      <c r="AW18" s="141"/>
      <c r="AX18" s="145"/>
      <c r="AY18" s="143"/>
      <c r="AZ18" s="80"/>
      <c r="BA18" s="81"/>
      <c r="BB18" s="82"/>
      <c r="BC18" s="141"/>
      <c r="BD18" s="141"/>
      <c r="BE18" s="141"/>
      <c r="BF18" s="141"/>
      <c r="BG18" s="141"/>
      <c r="BH18" s="141"/>
      <c r="BI18" s="141"/>
      <c r="BJ18" s="82"/>
      <c r="BK18" s="207"/>
      <c r="BL18" s="83"/>
      <c r="BM18" s="84"/>
      <c r="BN18" s="84"/>
      <c r="BO18" s="85"/>
      <c r="BP18" s="85"/>
      <c r="BQ18" s="85"/>
      <c r="BR18" s="85"/>
      <c r="BS18" s="86"/>
      <c r="BT18" s="86"/>
      <c r="BU18" s="86"/>
      <c r="BV18" s="87"/>
      <c r="BW18" s="146"/>
      <c r="BX18" s="87"/>
      <c r="BY18" s="146"/>
      <c r="BZ18" s="87"/>
      <c r="CA18" s="146"/>
      <c r="CB18" s="87"/>
      <c r="CC18" s="146"/>
      <c r="CD18" s="87"/>
      <c r="CE18" s="146"/>
      <c r="CF18" s="87"/>
      <c r="CG18" s="146"/>
      <c r="CH18" s="88"/>
      <c r="CI18" s="89"/>
      <c r="CJ18" s="176"/>
      <c r="CK18" s="88"/>
      <c r="CL18" s="199"/>
      <c r="CM18" s="200"/>
      <c r="CN18" s="199"/>
      <c r="CO18" s="199"/>
      <c r="CP18" s="199"/>
      <c r="CQ18" s="203"/>
      <c r="CR18" s="203"/>
      <c r="CS18" s="203"/>
      <c r="CT18" s="203"/>
      <c r="CU18" s="203"/>
      <c r="CV18" s="203"/>
      <c r="CW18" s="204"/>
      <c r="CX18" s="205"/>
    </row>
    <row r="19" spans="2:102" s="2" customFormat="1" ht="43.95" customHeight="1" x14ac:dyDescent="0.3">
      <c r="B19" s="124"/>
      <c r="C19" s="66" t="str">
        <f>_xlfn.IFNA(VLOOKUP(Table1[[#This Row],[Asset Reference
 (Well license facility code, pipeline '# or disposition '#)]],'well report'!$D$5:$X$999,3,FALSE),"")</f>
        <v/>
      </c>
      <c r="D19" s="66"/>
      <c r="E19" s="66" t="str">
        <f>_xlfn.IFNA(VLOOKUP(Table1[[#This Row],[Asset Reference
 (Well license facility code, pipeline '# or disposition '#)]],'well report'!$D$5:$X$999,8,FALSE),"")</f>
        <v/>
      </c>
      <c r="F19" s="66" t="str">
        <f>_xlfn.IFNA(VLOOKUP(Table1[[#This Row],[Asset Reference
 (Well license facility code, pipeline '# or disposition '#)]],'well report'!$D$5:$X$999,5,FALSE),"")</f>
        <v/>
      </c>
      <c r="G19" s="66"/>
      <c r="H19" s="67"/>
      <c r="I19" s="68"/>
      <c r="J19" s="127"/>
      <c r="K19" s="69"/>
      <c r="L19" s="129"/>
      <c r="M19" s="135"/>
      <c r="N19" s="90"/>
      <c r="O19" s="90"/>
      <c r="P19" s="90"/>
      <c r="Q19" s="90"/>
      <c r="R19" s="91"/>
      <c r="S19" s="91"/>
      <c r="T19" s="153" t="str">
        <f>_xlfn.IFNA(VLOOKUP(Table1[[#This Row],[Asset Reference
 (Well license facility code, pipeline '# or disposition '#)]],'well report'!$D$5:$X$999,3,FALSE),"")</f>
        <v/>
      </c>
      <c r="U19" s="110" t="str">
        <f>_xlfn.IFNA(VLOOKUP(Table1[[#This Row],[Asset Reference
 (Well license facility code, pipeline '# or disposition '#)]],'well report'!$D$5:$X$999,9,FALSE),"")</f>
        <v/>
      </c>
      <c r="V19" s="110" t="str">
        <f>_xlfn.IFNA(VLOOKUP(Table1[[#This Row],[Asset Reference
 (Well license facility code, pipeline '# or disposition '#)]],'well report'!$D$5:$X$999,10,FALSE),"")</f>
        <v/>
      </c>
      <c r="W19" s="92" t="str">
        <f>_xlfn.IFNA(VLOOKUP(Table1[[#This Row],[Asset Reference
 (Well license facility code, pipeline '# or disposition '#)]],'well report'!$D$5:$X$999,20,FALSE),"")</f>
        <v/>
      </c>
      <c r="X19" s="139"/>
      <c r="Y19" s="139"/>
      <c r="Z19" s="137"/>
      <c r="AA19" s="74"/>
      <c r="AB19" s="74"/>
      <c r="AC19" s="75"/>
      <c r="AD19" s="130"/>
      <c r="AE19" s="75"/>
      <c r="AF19" s="75"/>
      <c r="AG19" s="76"/>
      <c r="AH19" s="77"/>
      <c r="AI19" s="77"/>
      <c r="AJ19" s="132"/>
      <c r="AK19" s="78"/>
      <c r="AL19" s="112"/>
      <c r="AM19" s="206"/>
      <c r="AN19" s="206"/>
      <c r="AO19" s="79"/>
      <c r="AP19" s="165"/>
      <c r="AQ19" s="165"/>
      <c r="AR19" s="165"/>
      <c r="AS19" s="165"/>
      <c r="AT19" s="79"/>
      <c r="AU19" s="141"/>
      <c r="AV19" s="141"/>
      <c r="AW19" s="141"/>
      <c r="AX19" s="145"/>
      <c r="AY19" s="143"/>
      <c r="AZ19" s="80"/>
      <c r="BA19" s="81"/>
      <c r="BB19" s="82"/>
      <c r="BC19" s="141"/>
      <c r="BD19" s="141"/>
      <c r="BE19" s="141"/>
      <c r="BF19" s="141"/>
      <c r="BG19" s="141"/>
      <c r="BH19" s="141"/>
      <c r="BI19" s="141"/>
      <c r="BJ19" s="82"/>
      <c r="BK19" s="207"/>
      <c r="BL19" s="83"/>
      <c r="BM19" s="84"/>
      <c r="BN19" s="84"/>
      <c r="BO19" s="85"/>
      <c r="BP19" s="85"/>
      <c r="BQ19" s="85"/>
      <c r="BR19" s="85"/>
      <c r="BS19" s="86"/>
      <c r="BT19" s="86"/>
      <c r="BU19" s="86"/>
      <c r="BV19" s="87"/>
      <c r="BW19" s="146"/>
      <c r="BX19" s="87"/>
      <c r="BY19" s="146"/>
      <c r="BZ19" s="87"/>
      <c r="CA19" s="146"/>
      <c r="CB19" s="87"/>
      <c r="CC19" s="146"/>
      <c r="CD19" s="87"/>
      <c r="CE19" s="146"/>
      <c r="CF19" s="87"/>
      <c r="CG19" s="146"/>
      <c r="CH19" s="88"/>
      <c r="CI19" s="89"/>
      <c r="CJ19" s="176"/>
      <c r="CK19" s="88"/>
      <c r="CL19" s="199"/>
      <c r="CM19" s="200"/>
      <c r="CN19" s="199"/>
      <c r="CO19" s="199"/>
      <c r="CP19" s="199"/>
      <c r="CQ19" s="203"/>
      <c r="CR19" s="203"/>
      <c r="CS19" s="203"/>
      <c r="CT19" s="203"/>
      <c r="CU19" s="203"/>
      <c r="CV19" s="203"/>
      <c r="CW19" s="204"/>
      <c r="CX19" s="205"/>
    </row>
    <row r="20" spans="2:102" s="2" customFormat="1" ht="43.95" customHeight="1" x14ac:dyDescent="0.3">
      <c r="B20" s="124"/>
      <c r="C20" s="66" t="str">
        <f>_xlfn.IFNA(VLOOKUP(Table1[[#This Row],[Asset Reference
 (Well license facility code, pipeline '# or disposition '#)]],'well report'!$D$5:$X$999,3,FALSE),"")</f>
        <v/>
      </c>
      <c r="D20" s="66"/>
      <c r="E20" s="66" t="str">
        <f>_xlfn.IFNA(VLOOKUP(Table1[[#This Row],[Asset Reference
 (Well license facility code, pipeline '# or disposition '#)]],'well report'!$D$5:$X$999,8,FALSE),"")</f>
        <v/>
      </c>
      <c r="F20" s="66" t="str">
        <f>_xlfn.IFNA(VLOOKUP(Table1[[#This Row],[Asset Reference
 (Well license facility code, pipeline '# or disposition '#)]],'well report'!$D$5:$X$999,5,FALSE),"")</f>
        <v/>
      </c>
      <c r="G20" s="66"/>
      <c r="H20" s="67"/>
      <c r="I20" s="68"/>
      <c r="J20" s="127"/>
      <c r="K20" s="69"/>
      <c r="L20" s="129"/>
      <c r="M20" s="135"/>
      <c r="N20" s="90"/>
      <c r="O20" s="90"/>
      <c r="P20" s="90"/>
      <c r="Q20" s="90"/>
      <c r="R20" s="91"/>
      <c r="S20" s="91"/>
      <c r="T20" s="153" t="str">
        <f>_xlfn.IFNA(VLOOKUP(Table1[[#This Row],[Asset Reference
 (Well license facility code, pipeline '# or disposition '#)]],'well report'!$D$5:$X$999,3,FALSE),"")</f>
        <v/>
      </c>
      <c r="U20" s="110" t="str">
        <f>_xlfn.IFNA(VLOOKUP(Table1[[#This Row],[Asset Reference
 (Well license facility code, pipeline '# or disposition '#)]],'well report'!$D$5:$X$999,9,FALSE),"")</f>
        <v/>
      </c>
      <c r="V20" s="110" t="str">
        <f>_xlfn.IFNA(VLOOKUP(Table1[[#This Row],[Asset Reference
 (Well license facility code, pipeline '# or disposition '#)]],'well report'!$D$5:$X$999,10,FALSE),"")</f>
        <v/>
      </c>
      <c r="W20" s="92" t="str">
        <f>_xlfn.IFNA(VLOOKUP(Table1[[#This Row],[Asset Reference
 (Well license facility code, pipeline '# or disposition '#)]],'well report'!$D$5:$X$999,20,FALSE),"")</f>
        <v/>
      </c>
      <c r="X20" s="139"/>
      <c r="Y20" s="139"/>
      <c r="Z20" s="137"/>
      <c r="AA20" s="74"/>
      <c r="AB20" s="74"/>
      <c r="AC20" s="75"/>
      <c r="AD20" s="130"/>
      <c r="AE20" s="75"/>
      <c r="AF20" s="75"/>
      <c r="AG20" s="76"/>
      <c r="AH20" s="77"/>
      <c r="AI20" s="77"/>
      <c r="AJ20" s="132"/>
      <c r="AK20" s="78"/>
      <c r="AL20" s="112"/>
      <c r="AM20" s="206"/>
      <c r="AN20" s="206"/>
      <c r="AO20" s="79"/>
      <c r="AP20" s="165"/>
      <c r="AQ20" s="165"/>
      <c r="AR20" s="165"/>
      <c r="AS20" s="165"/>
      <c r="AT20" s="79"/>
      <c r="AU20" s="141"/>
      <c r="AV20" s="141"/>
      <c r="AW20" s="141"/>
      <c r="AX20" s="145"/>
      <c r="AY20" s="143"/>
      <c r="AZ20" s="80"/>
      <c r="BA20" s="81"/>
      <c r="BB20" s="82"/>
      <c r="BC20" s="141"/>
      <c r="BD20" s="141"/>
      <c r="BE20" s="141"/>
      <c r="BF20" s="141"/>
      <c r="BG20" s="141"/>
      <c r="BH20" s="141"/>
      <c r="BI20" s="141"/>
      <c r="BJ20" s="82"/>
      <c r="BK20" s="207"/>
      <c r="BL20" s="83"/>
      <c r="BM20" s="84"/>
      <c r="BN20" s="84"/>
      <c r="BO20" s="85"/>
      <c r="BP20" s="85"/>
      <c r="BQ20" s="85"/>
      <c r="BR20" s="85"/>
      <c r="BS20" s="86"/>
      <c r="BT20" s="86"/>
      <c r="BU20" s="86"/>
      <c r="BV20" s="87"/>
      <c r="BW20" s="146"/>
      <c r="BX20" s="87"/>
      <c r="BY20" s="146"/>
      <c r="BZ20" s="87"/>
      <c r="CA20" s="146"/>
      <c r="CB20" s="87"/>
      <c r="CC20" s="146"/>
      <c r="CD20" s="87"/>
      <c r="CE20" s="146"/>
      <c r="CF20" s="87"/>
      <c r="CG20" s="146"/>
      <c r="CH20" s="88"/>
      <c r="CI20" s="89"/>
      <c r="CJ20" s="176"/>
      <c r="CK20" s="88"/>
      <c r="CL20" s="199"/>
      <c r="CM20" s="200"/>
      <c r="CN20" s="199"/>
      <c r="CO20" s="199"/>
      <c r="CP20" s="199"/>
      <c r="CQ20" s="203"/>
      <c r="CR20" s="203"/>
      <c r="CS20" s="203"/>
      <c r="CT20" s="203"/>
      <c r="CU20" s="203"/>
      <c r="CV20" s="203"/>
      <c r="CW20" s="204"/>
      <c r="CX20" s="205"/>
    </row>
    <row r="21" spans="2:102" s="2" customFormat="1" ht="43.95" customHeight="1" thickBot="1" x14ac:dyDescent="0.35">
      <c r="B21" s="124"/>
      <c r="C21" s="66" t="str">
        <f>_xlfn.IFNA(VLOOKUP(Table1[[#This Row],[Asset Reference
 (Well license facility code, pipeline '# or disposition '#)]],'well report'!$D$5:$X$999,3,FALSE),"")</f>
        <v/>
      </c>
      <c r="D21" s="66"/>
      <c r="E21" s="66" t="str">
        <f>_xlfn.IFNA(VLOOKUP(Table1[[#This Row],[Asset Reference
 (Well license facility code, pipeline '# or disposition '#)]],'well report'!$D$5:$X$999,8,FALSE),"")</f>
        <v/>
      </c>
      <c r="F21" s="66" t="str">
        <f>_xlfn.IFNA(VLOOKUP(Table1[[#This Row],[Asset Reference
 (Well license facility code, pipeline '# or disposition '#)]],'well report'!$D$5:$X$999,5,FALSE),"")</f>
        <v/>
      </c>
      <c r="G21" s="66"/>
      <c r="H21" s="67"/>
      <c r="I21" s="68"/>
      <c r="J21" s="127"/>
      <c r="K21" s="69"/>
      <c r="L21" s="129"/>
      <c r="M21" s="135"/>
      <c r="N21" s="90"/>
      <c r="O21" s="90"/>
      <c r="P21" s="90"/>
      <c r="Q21" s="90"/>
      <c r="R21" s="91"/>
      <c r="S21" s="91"/>
      <c r="T21" s="153" t="str">
        <f>_xlfn.IFNA(VLOOKUP(Table1[[#This Row],[Asset Reference
 (Well license facility code, pipeline '# or disposition '#)]],'well report'!$D$5:$X$999,3,FALSE),"")</f>
        <v/>
      </c>
      <c r="U21" s="110" t="str">
        <f>_xlfn.IFNA(VLOOKUP(Table1[[#This Row],[Asset Reference
 (Well license facility code, pipeline '# or disposition '#)]],'well report'!$D$5:$X$999,9,FALSE),"")</f>
        <v/>
      </c>
      <c r="V21" s="110" t="str">
        <f>_xlfn.IFNA(VLOOKUP(Table1[[#This Row],[Asset Reference
 (Well license facility code, pipeline '# or disposition '#)]],'well report'!$D$5:$X$999,10,FALSE),"")</f>
        <v/>
      </c>
      <c r="W21" s="92" t="str">
        <f>_xlfn.IFNA(VLOOKUP(Table1[[#This Row],[Asset Reference
 (Well license facility code, pipeline '# or disposition '#)]],'well report'!$D$5:$X$999,20,FALSE),"")</f>
        <v/>
      </c>
      <c r="X21" s="140"/>
      <c r="Y21" s="140"/>
      <c r="Z21" s="138"/>
      <c r="AA21" s="93"/>
      <c r="AB21" s="74"/>
      <c r="AC21" s="94"/>
      <c r="AD21" s="131"/>
      <c r="AE21" s="94"/>
      <c r="AF21" s="94"/>
      <c r="AG21" s="95"/>
      <c r="AH21" s="96"/>
      <c r="AI21" s="96"/>
      <c r="AJ21" s="133"/>
      <c r="AK21" s="97"/>
      <c r="AL21" s="113"/>
      <c r="AM21" s="206"/>
      <c r="AN21" s="206"/>
      <c r="AO21" s="98"/>
      <c r="AP21" s="165"/>
      <c r="AQ21" s="165"/>
      <c r="AR21" s="165"/>
      <c r="AS21" s="165"/>
      <c r="AT21" s="98"/>
      <c r="AU21" s="142"/>
      <c r="AV21" s="142"/>
      <c r="AW21" s="142"/>
      <c r="AX21" s="144"/>
      <c r="AY21" s="99"/>
      <c r="AZ21" s="99"/>
      <c r="BA21" s="100"/>
      <c r="BB21" s="101"/>
      <c r="BC21" s="142"/>
      <c r="BD21" s="142"/>
      <c r="BE21" s="142"/>
      <c r="BF21" s="142"/>
      <c r="BG21" s="142"/>
      <c r="BH21" s="142"/>
      <c r="BI21" s="142"/>
      <c r="BJ21" s="101"/>
      <c r="BK21" s="208"/>
      <c r="BL21" s="102"/>
      <c r="BM21" s="103"/>
      <c r="BN21" s="103"/>
      <c r="BO21" s="104"/>
      <c r="BP21" s="104"/>
      <c r="BQ21" s="104"/>
      <c r="BR21" s="104"/>
      <c r="BS21" s="105"/>
      <c r="BT21" s="105"/>
      <c r="BU21" s="105"/>
      <c r="BV21" s="106"/>
      <c r="BW21" s="147"/>
      <c r="BX21" s="106"/>
      <c r="BY21" s="147"/>
      <c r="BZ21" s="106"/>
      <c r="CA21" s="147"/>
      <c r="CB21" s="106"/>
      <c r="CC21" s="147"/>
      <c r="CD21" s="106"/>
      <c r="CE21" s="147"/>
      <c r="CF21" s="106"/>
      <c r="CG21" s="147"/>
      <c r="CH21" s="107"/>
      <c r="CI21" s="108"/>
      <c r="CJ21" s="176"/>
      <c r="CK21" s="107"/>
      <c r="CL21" s="201"/>
      <c r="CM21" s="202"/>
      <c r="CN21" s="201"/>
      <c r="CO21" s="201"/>
      <c r="CP21" s="201"/>
      <c r="CQ21" s="203"/>
      <c r="CR21" s="203"/>
      <c r="CS21" s="203"/>
      <c r="CT21" s="203"/>
      <c r="CU21" s="203"/>
      <c r="CV21" s="203"/>
      <c r="CW21" s="204"/>
      <c r="CX21" s="205"/>
    </row>
    <row r="22" spans="2:102" x14ac:dyDescent="0.3">
      <c r="AU22" s="4"/>
      <c r="AX22" s="3"/>
    </row>
    <row r="23" spans="2:102" x14ac:dyDescent="0.3">
      <c r="AU23" s="4"/>
      <c r="AX23" s="3"/>
    </row>
    <row r="24" spans="2:102" x14ac:dyDescent="0.3">
      <c r="AT24" s="4"/>
      <c r="AW24" s="3"/>
    </row>
    <row r="25" spans="2:102" x14ac:dyDescent="0.3">
      <c r="AT25" s="4"/>
      <c r="AW25" s="3"/>
    </row>
    <row r="26" spans="2:102" x14ac:dyDescent="0.3">
      <c r="AT26" s="4"/>
      <c r="AW26" s="3"/>
    </row>
    <row r="27" spans="2:102" x14ac:dyDescent="0.3">
      <c r="AT27" s="4"/>
      <c r="AW27" s="3"/>
    </row>
    <row r="28" spans="2:102" x14ac:dyDescent="0.3">
      <c r="AT28" s="4"/>
      <c r="AW28" s="3"/>
    </row>
  </sheetData>
  <phoneticPr fontId="2" type="noConversion"/>
  <conditionalFormatting sqref="J5:J21">
    <cfRule type="expression" dxfId="162" priority="23">
      <formula>$I5="Other"</formula>
    </cfRule>
  </conditionalFormatting>
  <conditionalFormatting sqref="AD5:AD21">
    <cfRule type="expression" dxfId="161" priority="22">
      <formula>$AC5="remote"</formula>
    </cfRule>
  </conditionalFormatting>
  <conditionalFormatting sqref="AJ5:AJ21">
    <cfRule type="expression" dxfId="160" priority="21">
      <formula>$AI5="Yes"</formula>
    </cfRule>
  </conditionalFormatting>
  <conditionalFormatting sqref="AU5:AU21">
    <cfRule type="expression" dxfId="159" priority="20">
      <formula>$AT5="Yes"</formula>
    </cfRule>
  </conditionalFormatting>
  <conditionalFormatting sqref="AV5:AV21">
    <cfRule type="expression" dxfId="158" priority="19">
      <formula>$AT5="Yes"</formula>
    </cfRule>
  </conditionalFormatting>
  <conditionalFormatting sqref="BC5:BC21">
    <cfRule type="expression" dxfId="157" priority="18">
      <formula>$BB5="yes"</formula>
    </cfRule>
  </conditionalFormatting>
  <conditionalFormatting sqref="BW5:BW21">
    <cfRule type="expression" dxfId="156" priority="17">
      <formula>$BV5="yes"</formula>
    </cfRule>
  </conditionalFormatting>
  <conditionalFormatting sqref="BY5:BY21">
    <cfRule type="expression" dxfId="155" priority="16">
      <formula>$BX5="yes"</formula>
    </cfRule>
  </conditionalFormatting>
  <conditionalFormatting sqref="CA5:CA21">
    <cfRule type="expression" dxfId="154" priority="15">
      <formula>$BZ5="yes"</formula>
    </cfRule>
  </conditionalFormatting>
  <conditionalFormatting sqref="CC5:CC21">
    <cfRule type="expression" dxfId="153" priority="14">
      <formula>$CB5="yes"</formula>
    </cfRule>
  </conditionalFormatting>
  <conditionalFormatting sqref="CE5:CE21">
    <cfRule type="expression" dxfId="152" priority="13">
      <formula>$CD5="yes"</formula>
    </cfRule>
  </conditionalFormatting>
  <conditionalFormatting sqref="CG5:CG21">
    <cfRule type="expression" dxfId="151" priority="12">
      <formula>$CF5="yes"</formula>
    </cfRule>
  </conditionalFormatting>
  <conditionalFormatting sqref="AM5">
    <cfRule type="expression" dxfId="150" priority="11">
      <formula>$AL5="yes"</formula>
    </cfRule>
  </conditionalFormatting>
  <conditionalFormatting sqref="AN5">
    <cfRule type="expression" dxfId="149" priority="10">
      <formula>$AL5="Yes"</formula>
    </cfRule>
  </conditionalFormatting>
  <conditionalFormatting sqref="AM6:AM21">
    <cfRule type="expression" dxfId="148" priority="9">
      <formula>$AL6="yes"</formula>
    </cfRule>
  </conditionalFormatting>
  <conditionalFormatting sqref="AN6:AN21">
    <cfRule type="expression" dxfId="147" priority="8">
      <formula>$AL6="Yes"</formula>
    </cfRule>
  </conditionalFormatting>
  <conditionalFormatting sqref="AP5">
    <cfRule type="expression" dxfId="146" priority="7">
      <formula>$AO5="none"</formula>
    </cfRule>
  </conditionalFormatting>
  <conditionalFormatting sqref="AQ5:AS5">
    <cfRule type="expression" dxfId="145" priority="6">
      <formula>$AO5="none"</formula>
    </cfRule>
  </conditionalFormatting>
  <conditionalFormatting sqref="AP6:AP21">
    <cfRule type="expression" dxfId="144" priority="5">
      <formula>$AO6="none"</formula>
    </cfRule>
  </conditionalFormatting>
  <conditionalFormatting sqref="AQ6:AS21">
    <cfRule type="expression" dxfId="143" priority="4">
      <formula>$AO6="none"</formula>
    </cfRule>
  </conditionalFormatting>
  <conditionalFormatting sqref="AW5:AW21">
    <cfRule type="expression" dxfId="142" priority="3">
      <formula>$AT5="Yes"</formula>
    </cfRule>
  </conditionalFormatting>
  <conditionalFormatting sqref="BD5:BI21">
    <cfRule type="expression" dxfId="141" priority="2">
      <formula>$BB5="yes"</formula>
    </cfRule>
  </conditionalFormatting>
  <conditionalFormatting sqref="BK5:BK21">
    <cfRule type="expression" dxfId="140" priority="1">
      <formula>$BJ5="yes"</formula>
    </cfRule>
  </conditionalFormatting>
  <dataValidations count="21">
    <dataValidation type="list" allowBlank="1" showInputMessage="1" showErrorMessage="1" sqref="D5:D21" xr:uid="{60D1B14B-C01C-4491-BC9F-2DCE23EBC64E}">
      <formula1>INDIRECT("TblAssetType")</formula1>
    </dataValidation>
    <dataValidation type="list" allowBlank="1" showInputMessage="1" showErrorMessage="1" sqref="B20 G5:G21 I5:I21" xr:uid="{F94C83D4-27A9-4273-9415-60D9E85253B1}">
      <formula1>INDIRECT("TblActivityType")</formula1>
    </dataValidation>
    <dataValidation type="list" allowBlank="1" showInputMessage="1" showErrorMessage="1" sqref="M5:M21" xr:uid="{B9C0191D-0DB1-47D3-90AE-EAB8067412D4}">
      <formula1>INDIRECT("TblResponse")</formula1>
    </dataValidation>
    <dataValidation type="list" allowBlank="1" showInputMessage="1" showErrorMessage="1" sqref="CQ5:CQ21 AH5:AI21 BN5:BN21 BV5:BV21 BX5:BX21 CF5:CG21 AT5:AT21 BB5:BB21 BZ5:BZ21 CB5:CB21 CD5:CD21 X5:Y21" xr:uid="{5F593DE0-D81A-433F-A265-B9EF68F4EC25}">
      <formula1>INDIRECT("TblResponse2")</formula1>
    </dataValidation>
    <dataValidation type="list" allowBlank="1" showInputMessage="1" showErrorMessage="1" sqref="CJ5:CJ21 AV22:AV23 AU24:AU28" xr:uid="{44F67EA5-7CA6-496F-9542-2C17ADD38A41}">
      <formula1>INDIRECT("TblAerialType")</formula1>
    </dataValidation>
    <dataValidation type="list" allowBlank="1" showInputMessage="1" showErrorMessage="1" sqref="AK5:AK21" xr:uid="{AA9C5DFD-F4D5-43E0-874D-425DF810FEBC}">
      <formula1>INDIRECT("TblSiteInfoPS")</formula1>
    </dataValidation>
    <dataValidation type="list" allowBlank="1" sqref="AX5:AX21" xr:uid="{120CAC8B-D992-432A-B5C1-4E5DACEDBA06}">
      <formula1>INDIRECT("TblFacilityTypes")</formula1>
    </dataValidation>
    <dataValidation type="list" allowBlank="1" showInputMessage="1" showErrorMessage="1" sqref="BA5:BA21" xr:uid="{11761D7F-E70C-4220-958D-0B2051D97E19}">
      <formula1>INDIRECT("TblFluidDisposal")</formula1>
    </dataValidation>
    <dataValidation type="list" allowBlank="1" showInputMessage="1" showErrorMessage="1" sqref="AG5:AI21" xr:uid="{232D4AB3-D119-4E1E-86E7-54A4C1E558D5}">
      <formula1>INDIRECT("TblOptions")</formula1>
    </dataValidation>
    <dataValidation type="list" allowBlank="1" showInputMessage="1" showErrorMessage="1" sqref="N5:N21" xr:uid="{09D28780-475D-4B1E-9E4E-5787CA3EAAAC}">
      <formula1>INDIRECT("TblStakeholderType")</formula1>
    </dataValidation>
    <dataValidation type="list" allowBlank="1" showInputMessage="1" showErrorMessage="1" sqref="Z5:Z21" xr:uid="{1C81249E-8590-4BF9-855E-84819DC7A7D3}">
      <formula1>INDIRECT("TblDrillingType")</formula1>
    </dataValidation>
    <dataValidation type="list" allowBlank="1" showInputMessage="1" showErrorMessage="1" sqref="AB5:AB21" xr:uid="{5EDE5BB9-B89E-49A3-8880-A617C8D49D8D}">
      <formula1>INDIRECT("TblDisposalMethod")</formula1>
    </dataValidation>
    <dataValidation type="list" allowBlank="1" showInputMessage="1" showErrorMessage="1" sqref="AC5:AC21" xr:uid="{01F39156-0686-4D9C-A130-B4092F2EF653}">
      <formula1>INDIRECT("TblSumpType")</formula1>
    </dataValidation>
    <dataValidation type="list" allowBlank="1" showInputMessage="1" showErrorMessage="1" sqref="AL5:AL21 BJ5:BJ21" xr:uid="{CBB25D6F-F30C-4894-9F21-0BC435364662}">
      <formula1>INDIRECT("TblResponse3")</formula1>
    </dataValidation>
    <dataValidation type="list" allowBlank="1" showInputMessage="1" showErrorMessage="1" sqref="AM5:AM21" xr:uid="{43A7A895-75EC-49C8-B575-179ABF241990}">
      <formula1>INDIRECT("TblFlarePits")</formula1>
    </dataValidation>
    <dataValidation type="list" allowBlank="1" showInputMessage="1" showErrorMessage="1" sqref="AO5:AO21" xr:uid="{8341EF03-5A56-4DF7-8AC1-EA31D00E60D0}">
      <formula1>INDIRECT("TblAboveBelow")</formula1>
    </dataValidation>
    <dataValidation type="list" allowBlank="1" showInputMessage="1" showErrorMessage="1" sqref="AV5:AV21" xr:uid="{100A1E81-0D68-406D-89CE-A96FA85A7953}">
      <formula1>INDIRECT("TblStructureStatus")</formula1>
    </dataValidation>
    <dataValidation type="list" allowBlank="1" showInputMessage="1" showErrorMessage="1" sqref="BO5:BR21" xr:uid="{2838D08B-0194-4757-867F-DE7819CB50C6}">
      <formula1>INDIRECT("TblSurrLandUse")</formula1>
    </dataValidation>
    <dataValidation type="list" allowBlank="1" showInputMessage="1" showErrorMessage="1" sqref="BS5:BU21" xr:uid="{F284FD09-DE4B-4BB7-9806-C72478BE2D37}">
      <formula1>INDIRECT("TblSurrLandUse2")</formula1>
    </dataValidation>
    <dataValidation type="list" allowBlank="1" showInputMessage="1" showErrorMessage="1" sqref="CL5:CL21" xr:uid="{7C93CCE6-EB40-40FC-A39A-CB11ED9D8BF3}">
      <formula1>"Yes"</formula1>
    </dataValidation>
    <dataValidation type="list" allowBlank="1" showInputMessage="1" showErrorMessage="1" sqref="CW5:CW21" xr:uid="{107BE6DB-1446-4F12-8CAA-4C778E0A846F}">
      <formula1>INDIRECT("TblP1Results")</formula1>
    </dataValidation>
  </dataValidations>
  <pageMargins left="0.7" right="0.7" top="0.75" bottom="0.75" header="0.3" footer="0.3"/>
  <pageSetup orientation="portrait" horizontalDpi="200" verticalDpi="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D073D-F001-4B7A-B388-07F6F0F6B46A}">
  <sheetPr codeName="Sheet3">
    <tabColor theme="9" tint="0.39997558519241921"/>
  </sheetPr>
  <dimension ref="A1:Y5"/>
  <sheetViews>
    <sheetView showGridLines="0" workbookViewId="0">
      <selection activeCell="D5" sqref="D5:H5"/>
    </sheetView>
  </sheetViews>
  <sheetFormatPr defaultRowHeight="14.4" x14ac:dyDescent="0.3"/>
  <cols>
    <col min="1" max="1" width="22.88671875" bestFit="1" customWidth="1"/>
    <col min="2" max="2" width="10.6640625" bestFit="1" customWidth="1"/>
    <col min="3" max="3" width="15.109375" bestFit="1" customWidth="1"/>
    <col min="4" max="4" width="10.6640625" bestFit="1" customWidth="1"/>
    <col min="5" max="5" width="13.44140625" bestFit="1" customWidth="1"/>
    <col min="6" max="6" width="34.88671875" bestFit="1" customWidth="1"/>
    <col min="7" max="7" width="10.6640625" bestFit="1" customWidth="1"/>
    <col min="8" max="8" width="30.109375" bestFit="1" customWidth="1"/>
    <col min="9" max="9" width="12.88671875" bestFit="1" customWidth="1"/>
    <col min="10" max="10" width="18.88671875" bestFit="1" customWidth="1"/>
    <col min="11" max="11" width="15.44140625" bestFit="1" customWidth="1"/>
    <col min="12" max="12" width="11.6640625" bestFit="1" customWidth="1"/>
    <col min="13" max="13" width="17.44140625" bestFit="1" customWidth="1"/>
    <col min="14" max="14" width="14" bestFit="1" customWidth="1"/>
    <col min="15" max="15" width="19.109375" bestFit="1" customWidth="1"/>
    <col min="16" max="16" width="19.5546875" bestFit="1" customWidth="1"/>
    <col min="17" max="17" width="18.33203125" bestFit="1" customWidth="1"/>
    <col min="18" max="18" width="24.109375" bestFit="1" customWidth="1"/>
    <col min="19" max="19" width="15.6640625" bestFit="1" customWidth="1"/>
    <col min="20" max="20" width="16.6640625" bestFit="1" customWidth="1"/>
    <col min="21" max="21" width="18" bestFit="1" customWidth="1"/>
    <col min="22" max="22" width="19.88671875" bestFit="1" customWidth="1"/>
    <col min="23" max="23" width="16.6640625" bestFit="1" customWidth="1"/>
    <col min="24" max="25" width="11.6640625" bestFit="1" customWidth="1"/>
  </cols>
  <sheetData>
    <row r="1" spans="1:25" x14ac:dyDescent="0.3">
      <c r="A1" t="s">
        <v>119</v>
      </c>
      <c r="B1" t="s">
        <v>120</v>
      </c>
      <c r="C1" t="s">
        <v>121</v>
      </c>
      <c r="D1" t="s">
        <v>122</v>
      </c>
      <c r="E1" t="s">
        <v>123</v>
      </c>
      <c r="F1" t="s">
        <v>128</v>
      </c>
      <c r="G1" t="s">
        <v>129</v>
      </c>
      <c r="H1" t="s">
        <v>130</v>
      </c>
      <c r="I1" t="s">
        <v>131</v>
      </c>
      <c r="J1" t="s">
        <v>132</v>
      </c>
      <c r="K1" t="s">
        <v>133</v>
      </c>
      <c r="L1" t="s">
        <v>134</v>
      </c>
      <c r="M1" t="s">
        <v>135</v>
      </c>
      <c r="N1" t="s">
        <v>136</v>
      </c>
      <c r="O1" t="s">
        <v>137</v>
      </c>
      <c r="P1" t="s">
        <v>138</v>
      </c>
      <c r="Q1" t="s">
        <v>139</v>
      </c>
      <c r="R1" t="s">
        <v>140</v>
      </c>
      <c r="S1" t="s">
        <v>141</v>
      </c>
      <c r="T1" t="s">
        <v>142</v>
      </c>
      <c r="U1" t="s">
        <v>143</v>
      </c>
      <c r="V1" t="s">
        <v>124</v>
      </c>
      <c r="W1" t="s">
        <v>144</v>
      </c>
      <c r="X1" t="s">
        <v>145</v>
      </c>
      <c r="Y1" t="s">
        <v>146</v>
      </c>
    </row>
    <row r="2" spans="1:25" x14ac:dyDescent="0.3">
      <c r="C2" t="s">
        <v>147</v>
      </c>
    </row>
    <row r="4" spans="1:25" x14ac:dyDescent="0.3">
      <c r="A4" t="s">
        <v>148</v>
      </c>
      <c r="D4" t="s">
        <v>149</v>
      </c>
      <c r="E4" t="s">
        <v>150</v>
      </c>
      <c r="F4" t="s">
        <v>151</v>
      </c>
      <c r="H4" t="s">
        <v>152</v>
      </c>
      <c r="I4" t="s">
        <v>153</v>
      </c>
      <c r="J4" t="s">
        <v>154</v>
      </c>
      <c r="K4" t="s">
        <v>155</v>
      </c>
      <c r="L4" t="s">
        <v>156</v>
      </c>
      <c r="M4" t="s">
        <v>157</v>
      </c>
      <c r="N4" t="s">
        <v>158</v>
      </c>
      <c r="O4" t="s">
        <v>159</v>
      </c>
      <c r="P4" t="s">
        <v>160</v>
      </c>
      <c r="Q4" t="s">
        <v>161</v>
      </c>
      <c r="R4" t="s">
        <v>162</v>
      </c>
      <c r="S4" t="s">
        <v>163</v>
      </c>
      <c r="T4" t="s">
        <v>164</v>
      </c>
      <c r="U4" t="s">
        <v>165</v>
      </c>
      <c r="V4" t="s">
        <v>166</v>
      </c>
      <c r="W4" t="s">
        <v>167</v>
      </c>
    </row>
    <row r="5" spans="1:25" x14ac:dyDescent="0.3">
      <c r="A5" t="s">
        <v>168</v>
      </c>
      <c r="D5" t="s">
        <v>169</v>
      </c>
      <c r="E5" t="s">
        <v>170</v>
      </c>
      <c r="F5" t="s">
        <v>171</v>
      </c>
      <c r="H5" t="s">
        <v>172</v>
      </c>
      <c r="I5" t="s">
        <v>173</v>
      </c>
      <c r="J5" t="s">
        <v>174</v>
      </c>
      <c r="K5" t="s">
        <v>175</v>
      </c>
      <c r="L5" t="s">
        <v>176</v>
      </c>
      <c r="M5" t="s">
        <v>177</v>
      </c>
      <c r="N5" t="s">
        <v>178</v>
      </c>
      <c r="O5" t="s">
        <v>179</v>
      </c>
      <c r="P5" t="s">
        <v>180</v>
      </c>
      <c r="S5" t="s">
        <v>181</v>
      </c>
      <c r="T5" t="s">
        <v>182</v>
      </c>
      <c r="U5" t="s">
        <v>183</v>
      </c>
      <c r="V5" t="s">
        <v>184</v>
      </c>
      <c r="W5" t="s">
        <v>185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2C12-5C42-4007-AEF4-84A97C148F33}">
  <sheetPr codeName="Sheet4">
    <tabColor theme="9" tint="0.39997558519241921"/>
  </sheetPr>
  <dimension ref="A1:K75"/>
  <sheetViews>
    <sheetView showGridLines="0" workbookViewId="0">
      <selection activeCell="C9" sqref="C9"/>
    </sheetView>
  </sheetViews>
  <sheetFormatPr defaultRowHeight="14.4" x14ac:dyDescent="0.3"/>
  <cols>
    <col min="1" max="1" width="10.6640625" bestFit="1" customWidth="1"/>
    <col min="2" max="2" width="54.44140625" bestFit="1" customWidth="1"/>
    <col min="3" max="3" width="17.44140625" bestFit="1" customWidth="1"/>
    <col min="4" max="4" width="10.6640625" bestFit="1" customWidth="1"/>
    <col min="5" max="5" width="19.88671875" bestFit="1" customWidth="1"/>
    <col min="6" max="6" width="17.33203125" bestFit="1" customWidth="1"/>
    <col min="7" max="7" width="10.6640625" bestFit="1" customWidth="1"/>
    <col min="8" max="8" width="17.109375" bestFit="1" customWidth="1"/>
    <col min="9" max="9" width="10.6640625" bestFit="1" customWidth="1"/>
    <col min="10" max="10" width="21" bestFit="1" customWidth="1"/>
    <col min="11" max="11" width="11.6640625" bestFit="1" customWidth="1"/>
  </cols>
  <sheetData>
    <row r="1" spans="1:11" x14ac:dyDescent="0.3">
      <c r="A1" t="s">
        <v>119</v>
      </c>
      <c r="B1" t="s">
        <v>120</v>
      </c>
      <c r="C1" t="s">
        <v>121</v>
      </c>
      <c r="D1" t="s">
        <v>122</v>
      </c>
      <c r="E1" t="s">
        <v>123</v>
      </c>
      <c r="F1" t="s">
        <v>128</v>
      </c>
      <c r="G1" t="s">
        <v>129</v>
      </c>
      <c r="H1" t="s">
        <v>130</v>
      </c>
      <c r="I1" t="s">
        <v>131</v>
      </c>
      <c r="J1" t="s">
        <v>132</v>
      </c>
      <c r="K1" t="s">
        <v>133</v>
      </c>
    </row>
    <row r="4" spans="1:11" x14ac:dyDescent="0.3">
      <c r="B4" t="s">
        <v>186</v>
      </c>
    </row>
    <row r="7" spans="1:11" x14ac:dyDescent="0.3">
      <c r="B7" t="s">
        <v>149</v>
      </c>
      <c r="C7" t="s">
        <v>187</v>
      </c>
      <c r="D7" t="s">
        <v>188</v>
      </c>
      <c r="E7" t="s">
        <v>189</v>
      </c>
      <c r="F7" t="s">
        <v>190</v>
      </c>
      <c r="H7" t="s">
        <v>191</v>
      </c>
      <c r="J7" t="s">
        <v>192</v>
      </c>
    </row>
    <row r="8" spans="1:11" x14ac:dyDescent="0.3">
      <c r="B8" t="s">
        <v>193</v>
      </c>
      <c r="C8" t="s">
        <v>194</v>
      </c>
      <c r="D8" t="s">
        <v>195</v>
      </c>
      <c r="E8" t="s">
        <v>196</v>
      </c>
      <c r="F8" t="s">
        <v>197</v>
      </c>
      <c r="H8" t="s">
        <v>198</v>
      </c>
      <c r="J8" t="s">
        <v>198</v>
      </c>
    </row>
    <row r="9" spans="1:11" x14ac:dyDescent="0.3">
      <c r="D9" t="s">
        <v>199</v>
      </c>
      <c r="E9" t="s">
        <v>200</v>
      </c>
      <c r="F9" t="s">
        <v>197</v>
      </c>
      <c r="H9" t="s">
        <v>201</v>
      </c>
      <c r="J9" t="s">
        <v>202</v>
      </c>
    </row>
    <row r="10" spans="1:11" x14ac:dyDescent="0.3">
      <c r="D10" t="s">
        <v>203</v>
      </c>
      <c r="E10" t="s">
        <v>204</v>
      </c>
      <c r="F10" t="s">
        <v>197</v>
      </c>
      <c r="H10" t="s">
        <v>205</v>
      </c>
      <c r="J10" t="s">
        <v>206</v>
      </c>
    </row>
    <row r="11" spans="1:11" x14ac:dyDescent="0.3">
      <c r="D11" t="s">
        <v>207</v>
      </c>
      <c r="E11" t="s">
        <v>208</v>
      </c>
      <c r="F11" t="s">
        <v>197</v>
      </c>
      <c r="H11" t="s">
        <v>209</v>
      </c>
      <c r="J11" t="s">
        <v>210</v>
      </c>
    </row>
    <row r="12" spans="1:11" x14ac:dyDescent="0.3">
      <c r="D12" t="s">
        <v>211</v>
      </c>
      <c r="E12" t="s">
        <v>212</v>
      </c>
      <c r="F12" t="s">
        <v>197</v>
      </c>
      <c r="H12" t="s">
        <v>213</v>
      </c>
      <c r="J12" t="s">
        <v>214</v>
      </c>
    </row>
    <row r="13" spans="1:11" x14ac:dyDescent="0.3">
      <c r="D13" t="s">
        <v>215</v>
      </c>
      <c r="E13" t="s">
        <v>216</v>
      </c>
      <c r="F13" t="s">
        <v>197</v>
      </c>
      <c r="H13" t="s">
        <v>217</v>
      </c>
      <c r="J13" t="s">
        <v>218</v>
      </c>
    </row>
    <row r="14" spans="1:11" x14ac:dyDescent="0.3">
      <c r="D14" t="s">
        <v>219</v>
      </c>
      <c r="E14" t="s">
        <v>220</v>
      </c>
      <c r="F14" t="s">
        <v>197</v>
      </c>
      <c r="H14" t="s">
        <v>221</v>
      </c>
      <c r="J14" t="s">
        <v>222</v>
      </c>
    </row>
    <row r="15" spans="1:11" x14ac:dyDescent="0.3">
      <c r="D15" t="s">
        <v>223</v>
      </c>
      <c r="E15" t="s">
        <v>224</v>
      </c>
      <c r="F15" t="s">
        <v>197</v>
      </c>
      <c r="H15" t="s">
        <v>225</v>
      </c>
      <c r="J15" t="s">
        <v>226</v>
      </c>
    </row>
    <row r="16" spans="1:11" x14ac:dyDescent="0.3">
      <c r="D16" t="s">
        <v>227</v>
      </c>
      <c r="E16" t="s">
        <v>228</v>
      </c>
      <c r="F16" t="s">
        <v>197</v>
      </c>
      <c r="H16" t="s">
        <v>229</v>
      </c>
      <c r="J16" t="s">
        <v>230</v>
      </c>
    </row>
    <row r="17" spans="3:10" x14ac:dyDescent="0.3">
      <c r="D17" t="s">
        <v>231</v>
      </c>
      <c r="E17" t="s">
        <v>232</v>
      </c>
      <c r="F17" t="s">
        <v>197</v>
      </c>
      <c r="H17" t="s">
        <v>233</v>
      </c>
      <c r="J17" t="s">
        <v>234</v>
      </c>
    </row>
    <row r="18" spans="3:10" x14ac:dyDescent="0.3">
      <c r="D18" t="s">
        <v>235</v>
      </c>
      <c r="E18" t="s">
        <v>236</v>
      </c>
      <c r="F18" t="s">
        <v>197</v>
      </c>
      <c r="H18" t="s">
        <v>237</v>
      </c>
      <c r="J18" t="s">
        <v>238</v>
      </c>
    </row>
    <row r="19" spans="3:10" x14ac:dyDescent="0.3">
      <c r="D19" t="s">
        <v>239</v>
      </c>
      <c r="E19" t="s">
        <v>240</v>
      </c>
      <c r="F19" t="s">
        <v>197</v>
      </c>
      <c r="H19" t="s">
        <v>241</v>
      </c>
      <c r="J19" t="s">
        <v>242</v>
      </c>
    </row>
    <row r="20" spans="3:10" x14ac:dyDescent="0.3">
      <c r="D20" t="s">
        <v>243</v>
      </c>
      <c r="E20" t="s">
        <v>244</v>
      </c>
      <c r="F20" t="s">
        <v>197</v>
      </c>
      <c r="H20" t="s">
        <v>245</v>
      </c>
      <c r="J20" t="s">
        <v>246</v>
      </c>
    </row>
    <row r="21" spans="3:10" x14ac:dyDescent="0.3">
      <c r="D21" t="s">
        <v>247</v>
      </c>
      <c r="E21" t="s">
        <v>248</v>
      </c>
      <c r="F21" t="s">
        <v>197</v>
      </c>
      <c r="H21" t="s">
        <v>249</v>
      </c>
      <c r="J21" t="s">
        <v>250</v>
      </c>
    </row>
    <row r="22" spans="3:10" x14ac:dyDescent="0.3">
      <c r="D22" t="s">
        <v>251</v>
      </c>
      <c r="E22" t="s">
        <v>252</v>
      </c>
      <c r="F22" t="s">
        <v>197</v>
      </c>
      <c r="H22" t="s">
        <v>253</v>
      </c>
      <c r="J22" t="s">
        <v>254</v>
      </c>
    </row>
    <row r="23" spans="3:10" x14ac:dyDescent="0.3">
      <c r="D23" t="s">
        <v>255</v>
      </c>
      <c r="E23" t="s">
        <v>256</v>
      </c>
      <c r="F23" t="s">
        <v>197</v>
      </c>
      <c r="H23" t="s">
        <v>257</v>
      </c>
      <c r="J23" t="s">
        <v>258</v>
      </c>
    </row>
    <row r="24" spans="3:10" x14ac:dyDescent="0.3">
      <c r="D24" t="s">
        <v>259</v>
      </c>
      <c r="E24" t="s">
        <v>260</v>
      </c>
      <c r="F24" t="s">
        <v>197</v>
      </c>
      <c r="H24" t="s">
        <v>261</v>
      </c>
      <c r="J24" t="s">
        <v>262</v>
      </c>
    </row>
    <row r="25" spans="3:10" x14ac:dyDescent="0.3">
      <c r="D25" t="s">
        <v>263</v>
      </c>
      <c r="E25" t="s">
        <v>264</v>
      </c>
      <c r="F25" t="s">
        <v>197</v>
      </c>
      <c r="H25" t="s">
        <v>265</v>
      </c>
      <c r="J25" t="s">
        <v>266</v>
      </c>
    </row>
    <row r="26" spans="3:10" x14ac:dyDescent="0.3">
      <c r="D26" t="s">
        <v>267</v>
      </c>
      <c r="E26" t="s">
        <v>268</v>
      </c>
      <c r="F26" t="s">
        <v>197</v>
      </c>
      <c r="H26" t="s">
        <v>269</v>
      </c>
      <c r="J26" t="s">
        <v>270</v>
      </c>
    </row>
    <row r="27" spans="3:10" x14ac:dyDescent="0.3">
      <c r="D27" t="s">
        <v>271</v>
      </c>
      <c r="E27" t="s">
        <v>272</v>
      </c>
      <c r="F27" t="s">
        <v>197</v>
      </c>
      <c r="H27" t="s">
        <v>273</v>
      </c>
      <c r="J27" t="s">
        <v>274</v>
      </c>
    </row>
    <row r="28" spans="3:10" x14ac:dyDescent="0.3">
      <c r="D28" t="s">
        <v>275</v>
      </c>
      <c r="E28" t="s">
        <v>276</v>
      </c>
      <c r="F28" t="s">
        <v>197</v>
      </c>
      <c r="H28" t="s">
        <v>277</v>
      </c>
      <c r="J28" t="s">
        <v>278</v>
      </c>
    </row>
    <row r="29" spans="3:10" x14ac:dyDescent="0.3">
      <c r="D29" t="s">
        <v>279</v>
      </c>
      <c r="E29" t="s">
        <v>280</v>
      </c>
      <c r="F29" t="s">
        <v>197</v>
      </c>
      <c r="H29" t="s">
        <v>281</v>
      </c>
      <c r="J29" t="s">
        <v>282</v>
      </c>
    </row>
    <row r="30" spans="3:10" x14ac:dyDescent="0.3">
      <c r="D30" t="s">
        <v>283</v>
      </c>
      <c r="E30" t="s">
        <v>284</v>
      </c>
      <c r="F30" t="s">
        <v>197</v>
      </c>
      <c r="H30" t="s">
        <v>285</v>
      </c>
      <c r="J30" t="s">
        <v>286</v>
      </c>
    </row>
    <row r="31" spans="3:10" x14ac:dyDescent="0.3">
      <c r="C31" t="s">
        <v>287</v>
      </c>
      <c r="D31" t="s">
        <v>203</v>
      </c>
      <c r="E31" t="s">
        <v>204</v>
      </c>
      <c r="F31" t="s">
        <v>197</v>
      </c>
      <c r="H31" t="s">
        <v>288</v>
      </c>
      <c r="J31" t="s">
        <v>288</v>
      </c>
    </row>
    <row r="32" spans="3:10" x14ac:dyDescent="0.3">
      <c r="D32" t="s">
        <v>207</v>
      </c>
      <c r="E32" t="s">
        <v>208</v>
      </c>
      <c r="F32" t="s">
        <v>197</v>
      </c>
      <c r="H32" t="s">
        <v>289</v>
      </c>
      <c r="J32" t="s">
        <v>290</v>
      </c>
    </row>
    <row r="33" spans="4:10" x14ac:dyDescent="0.3">
      <c r="D33" t="s">
        <v>211</v>
      </c>
      <c r="E33" t="s">
        <v>212</v>
      </c>
      <c r="F33" t="s">
        <v>197</v>
      </c>
      <c r="H33" t="s">
        <v>291</v>
      </c>
      <c r="J33" t="s">
        <v>292</v>
      </c>
    </row>
    <row r="34" spans="4:10" x14ac:dyDescent="0.3">
      <c r="D34" t="s">
        <v>215</v>
      </c>
      <c r="E34" t="s">
        <v>216</v>
      </c>
      <c r="F34" t="s">
        <v>197</v>
      </c>
      <c r="H34" t="s">
        <v>293</v>
      </c>
      <c r="J34" t="s">
        <v>294</v>
      </c>
    </row>
    <row r="35" spans="4:10" x14ac:dyDescent="0.3">
      <c r="D35" t="s">
        <v>219</v>
      </c>
      <c r="E35" t="s">
        <v>220</v>
      </c>
      <c r="F35" t="s">
        <v>197</v>
      </c>
      <c r="H35" t="s">
        <v>295</v>
      </c>
      <c r="J35" t="s">
        <v>296</v>
      </c>
    </row>
    <row r="36" spans="4:10" x14ac:dyDescent="0.3">
      <c r="D36" t="s">
        <v>223</v>
      </c>
      <c r="E36" t="s">
        <v>224</v>
      </c>
      <c r="F36" t="s">
        <v>197</v>
      </c>
      <c r="H36" t="s">
        <v>297</v>
      </c>
      <c r="J36" t="s">
        <v>298</v>
      </c>
    </row>
    <row r="37" spans="4:10" x14ac:dyDescent="0.3">
      <c r="D37" t="s">
        <v>227</v>
      </c>
      <c r="E37" t="s">
        <v>228</v>
      </c>
      <c r="F37" t="s">
        <v>197</v>
      </c>
      <c r="H37" t="s">
        <v>299</v>
      </c>
      <c r="J37" t="s">
        <v>300</v>
      </c>
    </row>
    <row r="38" spans="4:10" x14ac:dyDescent="0.3">
      <c r="D38" t="s">
        <v>231</v>
      </c>
      <c r="E38" t="s">
        <v>232</v>
      </c>
      <c r="F38" t="s">
        <v>197</v>
      </c>
      <c r="H38" t="s">
        <v>301</v>
      </c>
      <c r="J38" t="s">
        <v>302</v>
      </c>
    </row>
    <row r="39" spans="4:10" x14ac:dyDescent="0.3">
      <c r="D39" t="s">
        <v>235</v>
      </c>
      <c r="E39" t="s">
        <v>236</v>
      </c>
      <c r="F39" t="s">
        <v>197</v>
      </c>
      <c r="H39" t="s">
        <v>303</v>
      </c>
      <c r="J39" t="s">
        <v>304</v>
      </c>
    </row>
    <row r="40" spans="4:10" x14ac:dyDescent="0.3">
      <c r="D40" t="s">
        <v>239</v>
      </c>
      <c r="E40" t="s">
        <v>240</v>
      </c>
      <c r="F40" t="s">
        <v>197</v>
      </c>
      <c r="H40" t="s">
        <v>305</v>
      </c>
      <c r="J40" t="s">
        <v>306</v>
      </c>
    </row>
    <row r="41" spans="4:10" x14ac:dyDescent="0.3">
      <c r="D41" t="s">
        <v>243</v>
      </c>
      <c r="E41" t="s">
        <v>244</v>
      </c>
      <c r="F41" t="s">
        <v>197</v>
      </c>
      <c r="H41" t="s">
        <v>307</v>
      </c>
      <c r="J41" t="s">
        <v>308</v>
      </c>
    </row>
    <row r="42" spans="4:10" x14ac:dyDescent="0.3">
      <c r="D42" t="s">
        <v>247</v>
      </c>
      <c r="E42" t="s">
        <v>248</v>
      </c>
      <c r="F42" t="s">
        <v>197</v>
      </c>
      <c r="H42" t="s">
        <v>309</v>
      </c>
      <c r="J42" t="s">
        <v>310</v>
      </c>
    </row>
    <row r="43" spans="4:10" x14ac:dyDescent="0.3">
      <c r="D43" t="s">
        <v>251</v>
      </c>
      <c r="E43" t="s">
        <v>252</v>
      </c>
      <c r="F43" t="s">
        <v>197</v>
      </c>
      <c r="H43" t="s">
        <v>311</v>
      </c>
      <c r="J43" t="s">
        <v>312</v>
      </c>
    </row>
    <row r="44" spans="4:10" x14ac:dyDescent="0.3">
      <c r="D44" t="s">
        <v>255</v>
      </c>
      <c r="E44" t="s">
        <v>256</v>
      </c>
      <c r="F44" t="s">
        <v>197</v>
      </c>
      <c r="H44" t="s">
        <v>313</v>
      </c>
      <c r="J44" t="s">
        <v>314</v>
      </c>
    </row>
    <row r="45" spans="4:10" x14ac:dyDescent="0.3">
      <c r="D45" t="s">
        <v>259</v>
      </c>
      <c r="E45" t="s">
        <v>260</v>
      </c>
      <c r="F45" t="s">
        <v>197</v>
      </c>
      <c r="H45" t="s">
        <v>315</v>
      </c>
      <c r="J45" t="s">
        <v>316</v>
      </c>
    </row>
    <row r="46" spans="4:10" x14ac:dyDescent="0.3">
      <c r="D46" t="s">
        <v>263</v>
      </c>
      <c r="E46" t="s">
        <v>264</v>
      </c>
      <c r="F46" t="s">
        <v>197</v>
      </c>
      <c r="H46" t="s">
        <v>317</v>
      </c>
      <c r="J46" t="s">
        <v>318</v>
      </c>
    </row>
    <row r="47" spans="4:10" x14ac:dyDescent="0.3">
      <c r="D47" t="s">
        <v>267</v>
      </c>
      <c r="E47" t="s">
        <v>268</v>
      </c>
      <c r="F47" t="s">
        <v>197</v>
      </c>
      <c r="H47" t="s">
        <v>319</v>
      </c>
      <c r="J47" t="s">
        <v>320</v>
      </c>
    </row>
    <row r="48" spans="4:10" x14ac:dyDescent="0.3">
      <c r="D48" t="s">
        <v>271</v>
      </c>
      <c r="E48" t="s">
        <v>272</v>
      </c>
      <c r="F48" t="s">
        <v>197</v>
      </c>
      <c r="H48" t="s">
        <v>321</v>
      </c>
      <c r="J48" t="s">
        <v>322</v>
      </c>
    </row>
    <row r="49" spans="3:10" x14ac:dyDescent="0.3">
      <c r="D49" t="s">
        <v>275</v>
      </c>
      <c r="E49" t="s">
        <v>276</v>
      </c>
      <c r="F49" t="s">
        <v>197</v>
      </c>
      <c r="H49" t="s">
        <v>323</v>
      </c>
      <c r="J49" t="s">
        <v>324</v>
      </c>
    </row>
    <row r="50" spans="3:10" x14ac:dyDescent="0.3">
      <c r="D50" t="s">
        <v>279</v>
      </c>
      <c r="E50" t="s">
        <v>280</v>
      </c>
      <c r="F50" t="s">
        <v>197</v>
      </c>
      <c r="H50" t="s">
        <v>325</v>
      </c>
      <c r="J50" t="s">
        <v>326</v>
      </c>
    </row>
    <row r="51" spans="3:10" x14ac:dyDescent="0.3">
      <c r="D51" t="s">
        <v>283</v>
      </c>
      <c r="E51" t="s">
        <v>284</v>
      </c>
      <c r="F51" t="s">
        <v>197</v>
      </c>
      <c r="H51" t="s">
        <v>327</v>
      </c>
      <c r="J51" t="s">
        <v>328</v>
      </c>
    </row>
    <row r="52" spans="3:10" x14ac:dyDescent="0.3">
      <c r="C52" t="s">
        <v>329</v>
      </c>
      <c r="D52" t="s">
        <v>195</v>
      </c>
      <c r="E52" t="s">
        <v>196</v>
      </c>
      <c r="F52" t="s">
        <v>197</v>
      </c>
      <c r="H52" t="s">
        <v>330</v>
      </c>
      <c r="J52" t="s">
        <v>330</v>
      </c>
    </row>
    <row r="53" spans="3:10" x14ac:dyDescent="0.3">
      <c r="D53" t="s">
        <v>199</v>
      </c>
      <c r="E53" t="s">
        <v>200</v>
      </c>
      <c r="F53" t="s">
        <v>197</v>
      </c>
      <c r="H53" t="s">
        <v>331</v>
      </c>
      <c r="J53" t="s">
        <v>332</v>
      </c>
    </row>
    <row r="54" spans="3:10" x14ac:dyDescent="0.3">
      <c r="D54" t="s">
        <v>203</v>
      </c>
      <c r="E54" t="s">
        <v>204</v>
      </c>
      <c r="F54" t="s">
        <v>197</v>
      </c>
      <c r="H54" t="s">
        <v>333</v>
      </c>
      <c r="J54" t="s">
        <v>334</v>
      </c>
    </row>
    <row r="55" spans="3:10" x14ac:dyDescent="0.3">
      <c r="D55" t="s">
        <v>207</v>
      </c>
      <c r="E55" t="s">
        <v>208</v>
      </c>
      <c r="F55" t="s">
        <v>197</v>
      </c>
      <c r="H55" t="s">
        <v>335</v>
      </c>
      <c r="J55" t="s">
        <v>336</v>
      </c>
    </row>
    <row r="56" spans="3:10" x14ac:dyDescent="0.3">
      <c r="D56" t="s">
        <v>211</v>
      </c>
      <c r="E56" t="s">
        <v>212</v>
      </c>
      <c r="F56" t="s">
        <v>197</v>
      </c>
      <c r="H56" t="s">
        <v>337</v>
      </c>
      <c r="J56" t="s">
        <v>338</v>
      </c>
    </row>
    <row r="57" spans="3:10" x14ac:dyDescent="0.3">
      <c r="D57" t="s">
        <v>215</v>
      </c>
      <c r="E57" t="s">
        <v>216</v>
      </c>
      <c r="F57" t="s">
        <v>197</v>
      </c>
      <c r="H57" t="s">
        <v>339</v>
      </c>
      <c r="J57" t="s">
        <v>340</v>
      </c>
    </row>
    <row r="58" spans="3:10" x14ac:dyDescent="0.3">
      <c r="D58" t="s">
        <v>219</v>
      </c>
      <c r="E58" t="s">
        <v>220</v>
      </c>
      <c r="F58" t="s">
        <v>197</v>
      </c>
      <c r="H58" t="s">
        <v>341</v>
      </c>
      <c r="J58" t="s">
        <v>342</v>
      </c>
    </row>
    <row r="59" spans="3:10" x14ac:dyDescent="0.3">
      <c r="D59" t="s">
        <v>223</v>
      </c>
      <c r="E59" t="s">
        <v>224</v>
      </c>
      <c r="F59" t="s">
        <v>197</v>
      </c>
      <c r="H59" t="s">
        <v>343</v>
      </c>
      <c r="J59" t="s">
        <v>344</v>
      </c>
    </row>
    <row r="60" spans="3:10" x14ac:dyDescent="0.3">
      <c r="D60" t="s">
        <v>227</v>
      </c>
      <c r="E60" t="s">
        <v>228</v>
      </c>
      <c r="F60" t="s">
        <v>197</v>
      </c>
      <c r="H60" t="s">
        <v>345</v>
      </c>
      <c r="J60" t="s">
        <v>346</v>
      </c>
    </row>
    <row r="61" spans="3:10" x14ac:dyDescent="0.3">
      <c r="D61" t="s">
        <v>231</v>
      </c>
      <c r="E61" t="s">
        <v>232</v>
      </c>
      <c r="F61" t="s">
        <v>197</v>
      </c>
      <c r="H61" t="s">
        <v>347</v>
      </c>
      <c r="J61" t="s">
        <v>348</v>
      </c>
    </row>
    <row r="62" spans="3:10" x14ac:dyDescent="0.3">
      <c r="D62" t="s">
        <v>235</v>
      </c>
      <c r="E62" t="s">
        <v>236</v>
      </c>
      <c r="F62" t="s">
        <v>197</v>
      </c>
      <c r="H62" t="s">
        <v>349</v>
      </c>
      <c r="J62" t="s">
        <v>350</v>
      </c>
    </row>
    <row r="63" spans="3:10" x14ac:dyDescent="0.3">
      <c r="D63" t="s">
        <v>239</v>
      </c>
      <c r="E63" t="s">
        <v>240</v>
      </c>
      <c r="F63" t="s">
        <v>197</v>
      </c>
      <c r="H63" t="s">
        <v>351</v>
      </c>
      <c r="J63" t="s">
        <v>352</v>
      </c>
    </row>
    <row r="64" spans="3:10" x14ac:dyDescent="0.3">
      <c r="D64" t="s">
        <v>243</v>
      </c>
      <c r="E64" t="s">
        <v>244</v>
      </c>
      <c r="F64" t="s">
        <v>197</v>
      </c>
      <c r="H64" t="s">
        <v>353</v>
      </c>
      <c r="J64" t="s">
        <v>354</v>
      </c>
    </row>
    <row r="65" spans="4:10" x14ac:dyDescent="0.3">
      <c r="D65" t="s">
        <v>247</v>
      </c>
      <c r="E65" t="s">
        <v>248</v>
      </c>
      <c r="F65" t="s">
        <v>197</v>
      </c>
      <c r="H65" t="s">
        <v>355</v>
      </c>
      <c r="J65" t="s">
        <v>356</v>
      </c>
    </row>
    <row r="66" spans="4:10" x14ac:dyDescent="0.3">
      <c r="D66" t="s">
        <v>251</v>
      </c>
      <c r="E66" t="s">
        <v>252</v>
      </c>
      <c r="F66" t="s">
        <v>197</v>
      </c>
      <c r="H66" t="s">
        <v>357</v>
      </c>
      <c r="J66" t="s">
        <v>358</v>
      </c>
    </row>
    <row r="67" spans="4:10" x14ac:dyDescent="0.3">
      <c r="D67" t="s">
        <v>255</v>
      </c>
      <c r="E67" t="s">
        <v>256</v>
      </c>
      <c r="F67" t="s">
        <v>197</v>
      </c>
      <c r="H67" t="s">
        <v>359</v>
      </c>
      <c r="J67" t="s">
        <v>360</v>
      </c>
    </row>
    <row r="68" spans="4:10" x14ac:dyDescent="0.3">
      <c r="D68" t="s">
        <v>259</v>
      </c>
      <c r="E68" t="s">
        <v>260</v>
      </c>
      <c r="F68" t="s">
        <v>197</v>
      </c>
      <c r="H68" t="s">
        <v>361</v>
      </c>
      <c r="J68" t="s">
        <v>362</v>
      </c>
    </row>
    <row r="69" spans="4:10" x14ac:dyDescent="0.3">
      <c r="D69" t="s">
        <v>263</v>
      </c>
      <c r="E69" t="s">
        <v>264</v>
      </c>
      <c r="F69" t="s">
        <v>197</v>
      </c>
      <c r="H69" t="s">
        <v>363</v>
      </c>
      <c r="J69" t="s">
        <v>364</v>
      </c>
    </row>
    <row r="70" spans="4:10" x14ac:dyDescent="0.3">
      <c r="D70" t="s">
        <v>267</v>
      </c>
      <c r="E70" t="s">
        <v>268</v>
      </c>
      <c r="F70" t="s">
        <v>197</v>
      </c>
      <c r="H70" t="s">
        <v>365</v>
      </c>
      <c r="J70" t="s">
        <v>366</v>
      </c>
    </row>
    <row r="71" spans="4:10" x14ac:dyDescent="0.3">
      <c r="D71" t="s">
        <v>271</v>
      </c>
      <c r="E71" t="s">
        <v>272</v>
      </c>
      <c r="F71" t="s">
        <v>197</v>
      </c>
      <c r="H71" t="s">
        <v>367</v>
      </c>
      <c r="J71" t="s">
        <v>368</v>
      </c>
    </row>
    <row r="72" spans="4:10" x14ac:dyDescent="0.3">
      <c r="D72" t="s">
        <v>275</v>
      </c>
      <c r="E72" t="s">
        <v>276</v>
      </c>
      <c r="F72" t="s">
        <v>197</v>
      </c>
      <c r="H72" t="s">
        <v>369</v>
      </c>
      <c r="J72" t="s">
        <v>370</v>
      </c>
    </row>
    <row r="73" spans="4:10" x14ac:dyDescent="0.3">
      <c r="D73" t="s">
        <v>279</v>
      </c>
      <c r="E73" t="s">
        <v>280</v>
      </c>
      <c r="F73" t="s">
        <v>197</v>
      </c>
      <c r="H73" t="s">
        <v>371</v>
      </c>
      <c r="J73" t="s">
        <v>372</v>
      </c>
    </row>
    <row r="74" spans="4:10" x14ac:dyDescent="0.3">
      <c r="D74" t="s">
        <v>283</v>
      </c>
      <c r="E74" t="s">
        <v>284</v>
      </c>
      <c r="F74" t="s">
        <v>197</v>
      </c>
      <c r="H74" t="s">
        <v>373</v>
      </c>
      <c r="J74" t="s">
        <v>374</v>
      </c>
    </row>
    <row r="75" spans="4:10" x14ac:dyDescent="0.3">
      <c r="D75" t="s">
        <v>375</v>
      </c>
      <c r="E75" t="s">
        <v>376</v>
      </c>
      <c r="F75" t="s">
        <v>197</v>
      </c>
      <c r="H75" t="s">
        <v>377</v>
      </c>
      <c r="J75" t="s">
        <v>378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9AFEE-157D-4A3A-9D9D-6BFDEF515561}">
  <sheetPr>
    <tabColor rgb="FF00B0F0"/>
  </sheetPr>
  <dimension ref="A1:V34"/>
  <sheetViews>
    <sheetView zoomScaleNormal="100" workbookViewId="0">
      <selection activeCell="S5" sqref="S5"/>
    </sheetView>
  </sheetViews>
  <sheetFormatPr defaultRowHeight="14.4" x14ac:dyDescent="0.3"/>
  <cols>
    <col min="1" max="1" width="24" customWidth="1"/>
    <col min="19" max="19" width="15.33203125" customWidth="1"/>
    <col min="20" max="20" width="15.109375" customWidth="1"/>
    <col min="21" max="21" width="42.5546875" customWidth="1"/>
    <col min="22" max="22" width="48.44140625" customWidth="1"/>
  </cols>
  <sheetData>
    <row r="1" spans="1:22" ht="18" x14ac:dyDescent="0.35">
      <c r="A1" s="209" t="s">
        <v>506</v>
      </c>
      <c r="I1" s="210" t="s">
        <v>507</v>
      </c>
      <c r="J1" s="378"/>
      <c r="K1" s="378"/>
    </row>
    <row r="2" spans="1:22" ht="18" x14ac:dyDescent="0.35">
      <c r="A2" s="211" t="s">
        <v>508</v>
      </c>
    </row>
    <row r="3" spans="1:22" ht="18" x14ac:dyDescent="0.35">
      <c r="A3" s="211" t="s">
        <v>55</v>
      </c>
      <c r="S3" s="379" t="s">
        <v>509</v>
      </c>
      <c r="T3" s="379"/>
      <c r="U3" s="379"/>
      <c r="V3" s="212"/>
    </row>
    <row r="4" spans="1:22" ht="15" thickBot="1" x14ac:dyDescent="0.35">
      <c r="B4" s="213" t="s">
        <v>510</v>
      </c>
    </row>
    <row r="5" spans="1:22" ht="43.8" thickBot="1" x14ac:dyDescent="0.35">
      <c r="A5" s="214" t="s">
        <v>511</v>
      </c>
      <c r="B5" s="215" t="s">
        <v>25</v>
      </c>
      <c r="C5" s="216" t="s">
        <v>25</v>
      </c>
      <c r="D5" s="216" t="s">
        <v>25</v>
      </c>
      <c r="E5" s="216" t="s">
        <v>25</v>
      </c>
      <c r="F5" s="216" t="s">
        <v>25</v>
      </c>
      <c r="G5" s="216" t="s">
        <v>25</v>
      </c>
      <c r="H5" s="216" t="s">
        <v>25</v>
      </c>
      <c r="I5" s="216" t="s">
        <v>25</v>
      </c>
      <c r="J5" s="216" t="s">
        <v>25</v>
      </c>
      <c r="K5" s="216" t="s">
        <v>25</v>
      </c>
      <c r="L5" s="216" t="s">
        <v>25</v>
      </c>
      <c r="M5" s="216" t="s">
        <v>25</v>
      </c>
      <c r="N5" s="216" t="s">
        <v>25</v>
      </c>
      <c r="O5" s="216" t="s">
        <v>25</v>
      </c>
      <c r="P5" s="216" t="s">
        <v>25</v>
      </c>
      <c r="Q5" s="217" t="s">
        <v>512</v>
      </c>
      <c r="S5" s="218" t="s">
        <v>513</v>
      </c>
      <c r="T5" s="219" t="s">
        <v>514</v>
      </c>
      <c r="U5" s="220" t="s">
        <v>515</v>
      </c>
      <c r="V5" s="221" t="s">
        <v>516</v>
      </c>
    </row>
    <row r="6" spans="1:22" x14ac:dyDescent="0.3">
      <c r="A6" s="222"/>
      <c r="B6" s="222"/>
      <c r="C6" s="222"/>
      <c r="D6" s="222"/>
      <c r="E6" s="222"/>
      <c r="F6" s="222"/>
      <c r="G6" s="222"/>
      <c r="H6" s="222"/>
      <c r="I6" s="222"/>
      <c r="J6" s="222"/>
      <c r="K6" s="222"/>
      <c r="L6" s="222"/>
      <c r="M6" s="222"/>
      <c r="N6" s="222"/>
      <c r="O6" s="222"/>
      <c r="P6" s="222"/>
      <c r="Q6" s="223">
        <f>SUM(B6:P6)</f>
        <v>0</v>
      </c>
      <c r="S6" s="224">
        <f>A6</f>
        <v>0</v>
      </c>
      <c r="T6" s="224" t="str">
        <f>Q6&amp;" sacks"</f>
        <v>0 sacks</v>
      </c>
      <c r="U6" s="225" t="str">
        <f>_xlfn.IFNA(_xlfn.XLOOKUP('Mud Tally Page - DDR'!S6,'[1]Muds '!A$2:A$1051,'[1]Muds '!C$2:C$1051),"")</f>
        <v/>
      </c>
      <c r="V6" s="226" t="str">
        <f>_xlfn.IFNA(_xlfn.XLOOKUP('Mud Tally Page - DDR'!S6,'[1]Muds '!A$2:A$1051,'[1]Muds '!D$2:D$1051),"")</f>
        <v/>
      </c>
    </row>
    <row r="7" spans="1:22" x14ac:dyDescent="0.3">
      <c r="A7" s="227"/>
      <c r="B7" s="227"/>
      <c r="C7" s="227"/>
      <c r="D7" s="227"/>
      <c r="E7" s="227"/>
      <c r="F7" s="227"/>
      <c r="G7" s="227"/>
      <c r="H7" s="227"/>
      <c r="I7" s="227"/>
      <c r="J7" s="227"/>
      <c r="K7" s="227"/>
      <c r="L7" s="227"/>
      <c r="M7" s="227"/>
      <c r="N7" s="227"/>
      <c r="O7" s="227"/>
      <c r="P7" s="227"/>
      <c r="Q7" s="227">
        <f t="shared" ref="Q7:Q28" si="0">SUM(B7:P7)</f>
        <v>0</v>
      </c>
      <c r="S7" s="227">
        <f t="shared" ref="S7:S28" si="1">A7</f>
        <v>0</v>
      </c>
      <c r="T7" s="227" t="str">
        <f t="shared" ref="T7:T28" si="2">Q7&amp;" sacks"</f>
        <v>0 sacks</v>
      </c>
      <c r="U7" s="226" t="str">
        <f>_xlfn.IFNA(_xlfn.XLOOKUP('Mud Tally Page - DDR'!S7,'[1]Muds '!A$2:A$1051,'[1]Muds '!C$2:C$1051),"")</f>
        <v/>
      </c>
      <c r="V7" s="226" t="str">
        <f>_xlfn.IFNA(_xlfn.XLOOKUP('Mud Tally Page - DDR'!S7,'[1]Muds '!A$2:A$1051,'[1]Muds '!D$2:D$1051),"")</f>
        <v/>
      </c>
    </row>
    <row r="8" spans="1:22" x14ac:dyDescent="0.3">
      <c r="A8" s="228"/>
      <c r="B8" s="228"/>
      <c r="C8" s="228"/>
      <c r="D8" s="228"/>
      <c r="E8" s="228"/>
      <c r="F8" s="228"/>
      <c r="G8" s="228"/>
      <c r="H8" s="228"/>
      <c r="I8" s="228"/>
      <c r="J8" s="228"/>
      <c r="K8" s="228"/>
      <c r="L8" s="228"/>
      <c r="M8" s="228"/>
      <c r="N8" s="228"/>
      <c r="O8" s="228"/>
      <c r="P8" s="228"/>
      <c r="Q8" s="227">
        <f t="shared" si="0"/>
        <v>0</v>
      </c>
      <c r="S8" s="227">
        <f t="shared" si="1"/>
        <v>0</v>
      </c>
      <c r="T8" s="227" t="str">
        <f t="shared" si="2"/>
        <v>0 sacks</v>
      </c>
      <c r="U8" s="226" t="str">
        <f>_xlfn.IFNA(_xlfn.XLOOKUP('Mud Tally Page - DDR'!S8,'[1]Muds '!A$2:A$1051,'[1]Muds '!C$2:C$1051),"")</f>
        <v/>
      </c>
      <c r="V8" s="226" t="str">
        <f>_xlfn.IFNA(_xlfn.XLOOKUP('Mud Tally Page - DDR'!S8,'[1]Muds '!A$2:A$1051,'[1]Muds '!D$2:D$1051),"")</f>
        <v/>
      </c>
    </row>
    <row r="9" spans="1:22" x14ac:dyDescent="0.3">
      <c r="A9" s="227"/>
      <c r="B9" s="227"/>
      <c r="C9" s="227"/>
      <c r="D9" s="227"/>
      <c r="E9" s="227"/>
      <c r="F9" s="227"/>
      <c r="G9" s="227"/>
      <c r="H9" s="227"/>
      <c r="I9" s="227"/>
      <c r="J9" s="227"/>
      <c r="K9" s="227"/>
      <c r="L9" s="227"/>
      <c r="M9" s="227"/>
      <c r="N9" s="227"/>
      <c r="O9" s="227"/>
      <c r="P9" s="227"/>
      <c r="Q9" s="227">
        <f t="shared" si="0"/>
        <v>0</v>
      </c>
      <c r="S9" s="227">
        <f t="shared" si="1"/>
        <v>0</v>
      </c>
      <c r="T9" s="227" t="str">
        <f t="shared" si="2"/>
        <v>0 sacks</v>
      </c>
      <c r="U9" s="226" t="str">
        <f>_xlfn.IFNA(_xlfn.XLOOKUP('Mud Tally Page - DDR'!S9,'[1]Muds '!A$2:A$1051,'[1]Muds '!C$2:C$1051),"")</f>
        <v/>
      </c>
      <c r="V9" s="226" t="str">
        <f>_xlfn.IFNA(_xlfn.XLOOKUP('Mud Tally Page - DDR'!S9,'[1]Muds '!A$2:A$1051,'[1]Muds '!D$2:D$1051),"")</f>
        <v/>
      </c>
    </row>
    <row r="10" spans="1:22" x14ac:dyDescent="0.3">
      <c r="A10" s="228"/>
      <c r="B10" s="228"/>
      <c r="C10" s="228"/>
      <c r="D10" s="228"/>
      <c r="E10" s="228"/>
      <c r="F10" s="228"/>
      <c r="G10" s="228"/>
      <c r="H10" s="228"/>
      <c r="I10" s="228"/>
      <c r="J10" s="228"/>
      <c r="K10" s="228"/>
      <c r="L10" s="228"/>
      <c r="M10" s="228"/>
      <c r="N10" s="228"/>
      <c r="O10" s="228"/>
      <c r="P10" s="228"/>
      <c r="Q10" s="227">
        <f t="shared" si="0"/>
        <v>0</v>
      </c>
      <c r="S10" s="227">
        <f t="shared" si="1"/>
        <v>0</v>
      </c>
      <c r="T10" s="227" t="str">
        <f t="shared" si="2"/>
        <v>0 sacks</v>
      </c>
      <c r="U10" s="226" t="str">
        <f>_xlfn.IFNA(_xlfn.XLOOKUP('Mud Tally Page - DDR'!S10,'[1]Muds '!A$2:A$1051,'[1]Muds '!C$2:C$1051),"")</f>
        <v/>
      </c>
      <c r="V10" s="226" t="str">
        <f>_xlfn.IFNA(_xlfn.XLOOKUP('Mud Tally Page - DDR'!S10,'[1]Muds '!A$2:A$1051,'[1]Muds '!D$2:D$1051),"")</f>
        <v/>
      </c>
    </row>
    <row r="11" spans="1:22" x14ac:dyDescent="0.3">
      <c r="A11" s="227"/>
      <c r="B11" s="227"/>
      <c r="C11" s="227"/>
      <c r="D11" s="227"/>
      <c r="E11" s="227"/>
      <c r="F11" s="227"/>
      <c r="G11" s="227"/>
      <c r="H11" s="227"/>
      <c r="I11" s="227"/>
      <c r="J11" s="227"/>
      <c r="K11" s="227"/>
      <c r="L11" s="227"/>
      <c r="M11" s="227"/>
      <c r="N11" s="227"/>
      <c r="O11" s="227"/>
      <c r="P11" s="227"/>
      <c r="Q11" s="227">
        <f t="shared" si="0"/>
        <v>0</v>
      </c>
      <c r="S11" s="227">
        <f t="shared" si="1"/>
        <v>0</v>
      </c>
      <c r="T11" s="227" t="str">
        <f t="shared" si="2"/>
        <v>0 sacks</v>
      </c>
      <c r="U11" s="226" t="str">
        <f>_xlfn.IFNA(_xlfn.XLOOKUP('Mud Tally Page - DDR'!S11,'[1]Muds '!A$2:A$1051,'[1]Muds '!C$2:C$1051),"")</f>
        <v/>
      </c>
      <c r="V11" s="226" t="str">
        <f>_xlfn.IFNA(_xlfn.XLOOKUP('Mud Tally Page - DDR'!S11,'[1]Muds '!A$2:A$1051,'[1]Muds '!D$2:D$1051),"")</f>
        <v/>
      </c>
    </row>
    <row r="12" spans="1:22" x14ac:dyDescent="0.3">
      <c r="A12" s="228"/>
      <c r="B12" s="228"/>
      <c r="C12" s="228"/>
      <c r="D12" s="228"/>
      <c r="E12" s="228"/>
      <c r="F12" s="228"/>
      <c r="G12" s="228"/>
      <c r="H12" s="228"/>
      <c r="I12" s="228"/>
      <c r="J12" s="228"/>
      <c r="K12" s="228"/>
      <c r="L12" s="228"/>
      <c r="M12" s="228"/>
      <c r="N12" s="228"/>
      <c r="O12" s="228"/>
      <c r="P12" s="228"/>
      <c r="Q12" s="227">
        <f t="shared" si="0"/>
        <v>0</v>
      </c>
      <c r="S12" s="227">
        <f t="shared" si="1"/>
        <v>0</v>
      </c>
      <c r="T12" s="227" t="str">
        <f t="shared" si="2"/>
        <v>0 sacks</v>
      </c>
      <c r="U12" s="226" t="str">
        <f>_xlfn.IFNA(_xlfn.XLOOKUP('Mud Tally Page - DDR'!S12,'[1]Muds '!A$2:A$1051,'[1]Muds '!C$2:C$1051),"")</f>
        <v/>
      </c>
      <c r="V12" s="226" t="str">
        <f>_xlfn.IFNA(_xlfn.XLOOKUP('Mud Tally Page - DDR'!S12,'[1]Muds '!A$2:A$1051,'[1]Muds '!D$2:D$1051),"")</f>
        <v/>
      </c>
    </row>
    <row r="13" spans="1:22" x14ac:dyDescent="0.3">
      <c r="A13" s="227"/>
      <c r="B13" s="227"/>
      <c r="C13" s="227"/>
      <c r="D13" s="227"/>
      <c r="E13" s="227"/>
      <c r="F13" s="227"/>
      <c r="G13" s="227"/>
      <c r="H13" s="227"/>
      <c r="I13" s="227"/>
      <c r="J13" s="227"/>
      <c r="K13" s="227"/>
      <c r="L13" s="227"/>
      <c r="M13" s="227"/>
      <c r="N13" s="227"/>
      <c r="O13" s="227"/>
      <c r="P13" s="227"/>
      <c r="Q13" s="227">
        <f t="shared" si="0"/>
        <v>0</v>
      </c>
      <c r="S13" s="227">
        <f t="shared" si="1"/>
        <v>0</v>
      </c>
      <c r="T13" s="227" t="str">
        <f t="shared" si="2"/>
        <v>0 sacks</v>
      </c>
      <c r="U13" s="226" t="str">
        <f>_xlfn.IFNA(_xlfn.XLOOKUP('Mud Tally Page - DDR'!S13,'[1]Muds '!A$2:A$1051,'[1]Muds '!C$2:C$1051),"")</f>
        <v/>
      </c>
      <c r="V13" s="226" t="str">
        <f>_xlfn.IFNA(_xlfn.XLOOKUP('Mud Tally Page - DDR'!S13,'[1]Muds '!A$2:A$1051,'[1]Muds '!D$2:D$1051),"")</f>
        <v/>
      </c>
    </row>
    <row r="14" spans="1:22" x14ac:dyDescent="0.3">
      <c r="A14" s="228"/>
      <c r="B14" s="228"/>
      <c r="C14" s="228"/>
      <c r="D14" s="228"/>
      <c r="E14" s="228"/>
      <c r="F14" s="228"/>
      <c r="G14" s="228"/>
      <c r="H14" s="228"/>
      <c r="I14" s="228"/>
      <c r="J14" s="228"/>
      <c r="K14" s="228"/>
      <c r="L14" s="228"/>
      <c r="M14" s="228"/>
      <c r="N14" s="228"/>
      <c r="O14" s="228"/>
      <c r="P14" s="228"/>
      <c r="Q14" s="227">
        <f t="shared" si="0"/>
        <v>0</v>
      </c>
      <c r="S14" s="227">
        <f t="shared" si="1"/>
        <v>0</v>
      </c>
      <c r="T14" s="227" t="str">
        <f t="shared" si="2"/>
        <v>0 sacks</v>
      </c>
      <c r="U14" s="226" t="str">
        <f>_xlfn.IFNA(_xlfn.XLOOKUP('Mud Tally Page - DDR'!S14,'[1]Muds '!A$2:A$1051,'[1]Muds '!C$2:C$1051),"")</f>
        <v/>
      </c>
      <c r="V14" s="226" t="str">
        <f>_xlfn.IFNA(_xlfn.XLOOKUP('Mud Tally Page - DDR'!S14,'[1]Muds '!A$2:A$1051,'[1]Muds '!D$2:D$1051),"")</f>
        <v/>
      </c>
    </row>
    <row r="15" spans="1:22" x14ac:dyDescent="0.3">
      <c r="A15" s="227"/>
      <c r="B15" s="227"/>
      <c r="C15" s="227"/>
      <c r="D15" s="227"/>
      <c r="E15" s="227"/>
      <c r="F15" s="227"/>
      <c r="G15" s="227"/>
      <c r="H15" s="227"/>
      <c r="I15" s="227"/>
      <c r="J15" s="227"/>
      <c r="K15" s="227"/>
      <c r="L15" s="227"/>
      <c r="M15" s="227"/>
      <c r="N15" s="227"/>
      <c r="O15" s="227"/>
      <c r="P15" s="227"/>
      <c r="Q15" s="227">
        <f t="shared" si="0"/>
        <v>0</v>
      </c>
      <c r="S15" s="227">
        <f t="shared" si="1"/>
        <v>0</v>
      </c>
      <c r="T15" s="227" t="str">
        <f t="shared" si="2"/>
        <v>0 sacks</v>
      </c>
      <c r="U15" s="226" t="str">
        <f>_xlfn.IFNA(_xlfn.XLOOKUP('Mud Tally Page - DDR'!S15,'[1]Muds '!A$2:A$1051,'[1]Muds '!C$2:C$1051),"")</f>
        <v/>
      </c>
      <c r="V15" s="226" t="str">
        <f>_xlfn.IFNA(_xlfn.XLOOKUP('Mud Tally Page - DDR'!S15,'[1]Muds '!A$2:A$1051,'[1]Muds '!D$2:D$1051),"")</f>
        <v/>
      </c>
    </row>
    <row r="16" spans="1:22" x14ac:dyDescent="0.3">
      <c r="A16" s="228"/>
      <c r="B16" s="228"/>
      <c r="C16" s="228"/>
      <c r="D16" s="228"/>
      <c r="E16" s="228"/>
      <c r="F16" s="228"/>
      <c r="G16" s="228"/>
      <c r="H16" s="228"/>
      <c r="I16" s="228"/>
      <c r="J16" s="228"/>
      <c r="K16" s="228"/>
      <c r="L16" s="228"/>
      <c r="M16" s="228"/>
      <c r="N16" s="228"/>
      <c r="O16" s="228"/>
      <c r="P16" s="228"/>
      <c r="Q16" s="227">
        <f t="shared" si="0"/>
        <v>0</v>
      </c>
      <c r="S16" s="227">
        <f t="shared" si="1"/>
        <v>0</v>
      </c>
      <c r="T16" s="227" t="str">
        <f t="shared" si="2"/>
        <v>0 sacks</v>
      </c>
      <c r="U16" s="226" t="str">
        <f>_xlfn.IFNA(_xlfn.XLOOKUP('Mud Tally Page - DDR'!S16,'[1]Muds '!A$2:A$1051,'[1]Muds '!C$2:C$1051),"")</f>
        <v/>
      </c>
      <c r="V16" s="226" t="str">
        <f>_xlfn.IFNA(_xlfn.XLOOKUP('Mud Tally Page - DDR'!S16,'[1]Muds '!A$2:A$1051,'[1]Muds '!D$2:D$1051),"")</f>
        <v/>
      </c>
    </row>
    <row r="17" spans="1:22" x14ac:dyDescent="0.3">
      <c r="A17" s="227"/>
      <c r="B17" s="227"/>
      <c r="C17" s="227"/>
      <c r="D17" s="227"/>
      <c r="E17" s="227"/>
      <c r="F17" s="227"/>
      <c r="G17" s="227"/>
      <c r="H17" s="227"/>
      <c r="I17" s="227"/>
      <c r="J17" s="227"/>
      <c r="K17" s="227"/>
      <c r="L17" s="227"/>
      <c r="M17" s="227"/>
      <c r="N17" s="227"/>
      <c r="O17" s="227"/>
      <c r="P17" s="227"/>
      <c r="Q17" s="227">
        <f t="shared" si="0"/>
        <v>0</v>
      </c>
      <c r="S17" s="227">
        <f t="shared" si="1"/>
        <v>0</v>
      </c>
      <c r="T17" s="227" t="str">
        <f t="shared" si="2"/>
        <v>0 sacks</v>
      </c>
      <c r="U17" s="226" t="str">
        <f>_xlfn.IFNA(_xlfn.XLOOKUP('Mud Tally Page - DDR'!S17,'[1]Muds '!A$2:A$1051,'[1]Muds '!C$2:C$1051),"")</f>
        <v/>
      </c>
      <c r="V17" s="226" t="str">
        <f>_xlfn.IFNA(_xlfn.XLOOKUP('Mud Tally Page - DDR'!S17,'[1]Muds '!A$2:A$1051,'[1]Muds '!D$2:D$1051),"")</f>
        <v/>
      </c>
    </row>
    <row r="18" spans="1:22" x14ac:dyDescent="0.3">
      <c r="A18" s="228"/>
      <c r="B18" s="228"/>
      <c r="C18" s="228"/>
      <c r="D18" s="228"/>
      <c r="E18" s="228"/>
      <c r="F18" s="228"/>
      <c r="G18" s="228"/>
      <c r="H18" s="228"/>
      <c r="I18" s="228"/>
      <c r="J18" s="228"/>
      <c r="K18" s="228"/>
      <c r="L18" s="228"/>
      <c r="M18" s="228"/>
      <c r="N18" s="228"/>
      <c r="O18" s="228"/>
      <c r="P18" s="228"/>
      <c r="Q18" s="227">
        <f t="shared" si="0"/>
        <v>0</v>
      </c>
      <c r="S18" s="227">
        <f t="shared" si="1"/>
        <v>0</v>
      </c>
      <c r="T18" s="227" t="str">
        <f t="shared" si="2"/>
        <v>0 sacks</v>
      </c>
      <c r="U18" s="226" t="str">
        <f>_xlfn.IFNA(_xlfn.XLOOKUP('Mud Tally Page - DDR'!S18,'[1]Muds '!A$2:A$1051,'[1]Muds '!C$2:C$1051),"")</f>
        <v/>
      </c>
      <c r="V18" s="226" t="str">
        <f>_xlfn.IFNA(_xlfn.XLOOKUP('Mud Tally Page - DDR'!S18,'[1]Muds '!A$2:A$1051,'[1]Muds '!D$2:D$1051),"")</f>
        <v/>
      </c>
    </row>
    <row r="19" spans="1:22" x14ac:dyDescent="0.3">
      <c r="A19" s="227"/>
      <c r="B19" s="227"/>
      <c r="C19" s="227"/>
      <c r="D19" s="227"/>
      <c r="E19" s="227"/>
      <c r="F19" s="227"/>
      <c r="G19" s="227"/>
      <c r="H19" s="227"/>
      <c r="I19" s="227"/>
      <c r="J19" s="227"/>
      <c r="K19" s="227"/>
      <c r="L19" s="227"/>
      <c r="M19" s="227"/>
      <c r="N19" s="227"/>
      <c r="O19" s="227"/>
      <c r="P19" s="227"/>
      <c r="Q19" s="227">
        <f t="shared" si="0"/>
        <v>0</v>
      </c>
      <c r="S19" s="227">
        <f t="shared" si="1"/>
        <v>0</v>
      </c>
      <c r="T19" s="227" t="str">
        <f t="shared" si="2"/>
        <v>0 sacks</v>
      </c>
      <c r="U19" s="226" t="str">
        <f>_xlfn.IFNA(_xlfn.XLOOKUP('Mud Tally Page - DDR'!S19,'[1]Muds '!A$2:A$1051,'[1]Muds '!C$2:C$1051),"")</f>
        <v/>
      </c>
      <c r="V19" s="226" t="str">
        <f>_xlfn.IFNA(_xlfn.XLOOKUP('Mud Tally Page - DDR'!S19,'[1]Muds '!A$2:A$1051,'[1]Muds '!D$2:D$1051),"")</f>
        <v/>
      </c>
    </row>
    <row r="20" spans="1:22" x14ac:dyDescent="0.3">
      <c r="A20" s="228"/>
      <c r="B20" s="228"/>
      <c r="C20" s="228"/>
      <c r="D20" s="228"/>
      <c r="E20" s="228"/>
      <c r="F20" s="228"/>
      <c r="G20" s="228"/>
      <c r="H20" s="228"/>
      <c r="I20" s="228"/>
      <c r="J20" s="228"/>
      <c r="K20" s="228"/>
      <c r="L20" s="228"/>
      <c r="M20" s="228"/>
      <c r="N20" s="228"/>
      <c r="O20" s="228"/>
      <c r="P20" s="228"/>
      <c r="Q20" s="227">
        <f t="shared" si="0"/>
        <v>0</v>
      </c>
      <c r="S20" s="227">
        <f t="shared" si="1"/>
        <v>0</v>
      </c>
      <c r="T20" s="227" t="str">
        <f t="shared" si="2"/>
        <v>0 sacks</v>
      </c>
      <c r="U20" s="226" t="str">
        <f>_xlfn.IFNA(_xlfn.XLOOKUP('Mud Tally Page - DDR'!S20,'[1]Muds '!A$2:A$1051,'[1]Muds '!C$2:C$1051),"")</f>
        <v/>
      </c>
      <c r="V20" s="226" t="str">
        <f>_xlfn.IFNA(_xlfn.XLOOKUP('Mud Tally Page - DDR'!S20,'[1]Muds '!A$2:A$1051,'[1]Muds '!D$2:D$1051),"")</f>
        <v/>
      </c>
    </row>
    <row r="21" spans="1:22" x14ac:dyDescent="0.3">
      <c r="A21" s="227"/>
      <c r="B21" s="227"/>
      <c r="C21" s="227"/>
      <c r="D21" s="227"/>
      <c r="E21" s="227"/>
      <c r="F21" s="227"/>
      <c r="G21" s="227"/>
      <c r="H21" s="227"/>
      <c r="I21" s="227"/>
      <c r="J21" s="227"/>
      <c r="K21" s="227"/>
      <c r="L21" s="227"/>
      <c r="M21" s="227"/>
      <c r="N21" s="227"/>
      <c r="O21" s="227"/>
      <c r="P21" s="227"/>
      <c r="Q21" s="227">
        <f t="shared" si="0"/>
        <v>0</v>
      </c>
      <c r="S21" s="227">
        <f t="shared" si="1"/>
        <v>0</v>
      </c>
      <c r="T21" s="227" t="str">
        <f t="shared" si="2"/>
        <v>0 sacks</v>
      </c>
      <c r="U21" s="226" t="str">
        <f>_xlfn.IFNA(_xlfn.XLOOKUP('Mud Tally Page - DDR'!S21,'[1]Muds '!A$2:A$1051,'[1]Muds '!C$2:C$1051),"")</f>
        <v/>
      </c>
      <c r="V21" s="226" t="str">
        <f>_xlfn.IFNA(_xlfn.XLOOKUP('Mud Tally Page - DDR'!S21,'[1]Muds '!A$2:A$1051,'[1]Muds '!D$2:D$1051),"")</f>
        <v/>
      </c>
    </row>
    <row r="22" spans="1:22" x14ac:dyDescent="0.3">
      <c r="A22" s="228"/>
      <c r="B22" s="228"/>
      <c r="C22" s="228"/>
      <c r="D22" s="228"/>
      <c r="E22" s="228"/>
      <c r="F22" s="228"/>
      <c r="G22" s="228"/>
      <c r="H22" s="228"/>
      <c r="I22" s="228"/>
      <c r="J22" s="228"/>
      <c r="K22" s="228"/>
      <c r="L22" s="228"/>
      <c r="M22" s="228"/>
      <c r="N22" s="228"/>
      <c r="O22" s="228"/>
      <c r="P22" s="228"/>
      <c r="Q22" s="227">
        <f t="shared" si="0"/>
        <v>0</v>
      </c>
      <c r="S22" s="227">
        <f t="shared" si="1"/>
        <v>0</v>
      </c>
      <c r="T22" s="227" t="str">
        <f t="shared" si="2"/>
        <v>0 sacks</v>
      </c>
      <c r="U22" s="226" t="str">
        <f>_xlfn.IFNA(_xlfn.XLOOKUP('Mud Tally Page - DDR'!S22,'[1]Muds '!A$2:A$1051,'[1]Muds '!C$2:C$1051),"")</f>
        <v/>
      </c>
      <c r="V22" s="226" t="str">
        <f>_xlfn.IFNA(_xlfn.XLOOKUP('Mud Tally Page - DDR'!S22,'[1]Muds '!A$2:A$1051,'[1]Muds '!D$2:D$1051),"")</f>
        <v/>
      </c>
    </row>
    <row r="23" spans="1:22" x14ac:dyDescent="0.3">
      <c r="A23" s="227"/>
      <c r="B23" s="227"/>
      <c r="C23" s="227"/>
      <c r="D23" s="227"/>
      <c r="E23" s="227"/>
      <c r="F23" s="227"/>
      <c r="G23" s="227"/>
      <c r="H23" s="227"/>
      <c r="I23" s="227"/>
      <c r="J23" s="227"/>
      <c r="K23" s="227"/>
      <c r="L23" s="227"/>
      <c r="M23" s="227"/>
      <c r="N23" s="227"/>
      <c r="O23" s="227"/>
      <c r="P23" s="227"/>
      <c r="Q23" s="227">
        <f t="shared" si="0"/>
        <v>0</v>
      </c>
      <c r="S23" s="227">
        <f t="shared" si="1"/>
        <v>0</v>
      </c>
      <c r="T23" s="227" t="str">
        <f t="shared" si="2"/>
        <v>0 sacks</v>
      </c>
      <c r="U23" s="226" t="str">
        <f>_xlfn.IFNA(_xlfn.XLOOKUP('Mud Tally Page - DDR'!S23,'[1]Muds '!A$2:A$1051,'[1]Muds '!C$2:C$1051),"")</f>
        <v/>
      </c>
      <c r="V23" s="226" t="str">
        <f>_xlfn.IFNA(_xlfn.XLOOKUP('Mud Tally Page - DDR'!S23,'[1]Muds '!A$2:A$1051,'[1]Muds '!D$2:D$1051),"")</f>
        <v/>
      </c>
    </row>
    <row r="24" spans="1:22" x14ac:dyDescent="0.3">
      <c r="A24" s="228"/>
      <c r="B24" s="228"/>
      <c r="C24" s="228"/>
      <c r="D24" s="228"/>
      <c r="E24" s="228"/>
      <c r="F24" s="228"/>
      <c r="G24" s="228"/>
      <c r="H24" s="228"/>
      <c r="I24" s="228"/>
      <c r="J24" s="228"/>
      <c r="K24" s="228"/>
      <c r="L24" s="228"/>
      <c r="M24" s="228"/>
      <c r="N24" s="228"/>
      <c r="O24" s="228"/>
      <c r="P24" s="228"/>
      <c r="Q24" s="227">
        <f t="shared" si="0"/>
        <v>0</v>
      </c>
      <c r="S24" s="227">
        <f t="shared" si="1"/>
        <v>0</v>
      </c>
      <c r="T24" s="227" t="str">
        <f t="shared" si="2"/>
        <v>0 sacks</v>
      </c>
      <c r="U24" s="226" t="str">
        <f>_xlfn.IFNA(_xlfn.XLOOKUP('Mud Tally Page - DDR'!S24,'[1]Muds '!A$2:A$1051,'[1]Muds '!C$2:C$1051),"")</f>
        <v/>
      </c>
      <c r="V24" s="226" t="str">
        <f>_xlfn.IFNA(_xlfn.XLOOKUP('Mud Tally Page - DDR'!S24,'[1]Muds '!A$2:A$1051,'[1]Muds '!D$2:D$1051),"")</f>
        <v/>
      </c>
    </row>
    <row r="25" spans="1:22" x14ac:dyDescent="0.3">
      <c r="A25" s="227"/>
      <c r="B25" s="227"/>
      <c r="C25" s="227"/>
      <c r="D25" s="227"/>
      <c r="E25" s="227"/>
      <c r="F25" s="227"/>
      <c r="G25" s="227"/>
      <c r="H25" s="227"/>
      <c r="I25" s="227"/>
      <c r="J25" s="227"/>
      <c r="K25" s="227"/>
      <c r="L25" s="227"/>
      <c r="M25" s="227"/>
      <c r="N25" s="227"/>
      <c r="O25" s="227"/>
      <c r="P25" s="227"/>
      <c r="Q25" s="227">
        <f t="shared" si="0"/>
        <v>0</v>
      </c>
      <c r="S25" s="227">
        <f t="shared" si="1"/>
        <v>0</v>
      </c>
      <c r="T25" s="227" t="str">
        <f t="shared" si="2"/>
        <v>0 sacks</v>
      </c>
      <c r="U25" s="226" t="str">
        <f>_xlfn.IFNA(_xlfn.XLOOKUP('Mud Tally Page - DDR'!S25,'[1]Muds '!A$2:A$1051,'[1]Muds '!C$2:C$1051),"")</f>
        <v/>
      </c>
      <c r="V25" s="226" t="str">
        <f>_xlfn.IFNA(_xlfn.XLOOKUP('Mud Tally Page - DDR'!S25,'[1]Muds '!A$2:A$1051,'[1]Muds '!D$2:D$1051),"")</f>
        <v/>
      </c>
    </row>
    <row r="26" spans="1:22" x14ac:dyDescent="0.3">
      <c r="A26" s="228"/>
      <c r="B26" s="228"/>
      <c r="C26" s="228"/>
      <c r="D26" s="228"/>
      <c r="E26" s="228"/>
      <c r="F26" s="228"/>
      <c r="G26" s="228"/>
      <c r="H26" s="228"/>
      <c r="I26" s="228"/>
      <c r="J26" s="228"/>
      <c r="K26" s="228"/>
      <c r="L26" s="228"/>
      <c r="M26" s="228"/>
      <c r="N26" s="228"/>
      <c r="O26" s="228"/>
      <c r="P26" s="228"/>
      <c r="Q26" s="227">
        <f t="shared" si="0"/>
        <v>0</v>
      </c>
      <c r="S26" s="227">
        <f t="shared" si="1"/>
        <v>0</v>
      </c>
      <c r="T26" s="227" t="str">
        <f t="shared" si="2"/>
        <v>0 sacks</v>
      </c>
      <c r="U26" s="226" t="str">
        <f>_xlfn.IFNA(_xlfn.XLOOKUP('Mud Tally Page - DDR'!S26,'[1]Muds '!A$2:A$1051,'[1]Muds '!C$2:C$1051),"")</f>
        <v/>
      </c>
      <c r="V26" s="226" t="str">
        <f>_xlfn.IFNA(_xlfn.XLOOKUP('Mud Tally Page - DDR'!S26,'[1]Muds '!A$2:A$1051,'[1]Muds '!D$2:D$1051),"")</f>
        <v/>
      </c>
    </row>
    <row r="27" spans="1:22" x14ac:dyDescent="0.3">
      <c r="A27" s="227"/>
      <c r="B27" s="227"/>
      <c r="C27" s="227"/>
      <c r="D27" s="227"/>
      <c r="E27" s="227"/>
      <c r="F27" s="227"/>
      <c r="G27" s="227"/>
      <c r="H27" s="227"/>
      <c r="I27" s="227"/>
      <c r="J27" s="227"/>
      <c r="K27" s="227"/>
      <c r="L27" s="227"/>
      <c r="M27" s="227"/>
      <c r="N27" s="227"/>
      <c r="O27" s="227"/>
      <c r="P27" s="227"/>
      <c r="Q27" s="227">
        <f t="shared" si="0"/>
        <v>0</v>
      </c>
      <c r="S27" s="227">
        <f t="shared" si="1"/>
        <v>0</v>
      </c>
      <c r="T27" s="227" t="str">
        <f t="shared" si="2"/>
        <v>0 sacks</v>
      </c>
      <c r="U27" s="226" t="str">
        <f>_xlfn.IFNA(_xlfn.XLOOKUP('Mud Tally Page - DDR'!S27,'[1]Muds '!A$2:A$1051,'[1]Muds '!C$2:C$1051),"")</f>
        <v/>
      </c>
      <c r="V27" s="226" t="str">
        <f>_xlfn.IFNA(_xlfn.XLOOKUP('Mud Tally Page - DDR'!S27,'[1]Muds '!A$2:A$1051,'[1]Muds '!D$2:D$1051),"")</f>
        <v/>
      </c>
    </row>
    <row r="28" spans="1:22" x14ac:dyDescent="0.3">
      <c r="A28" s="228"/>
      <c r="B28" s="228"/>
      <c r="C28" s="228"/>
      <c r="D28" s="228"/>
      <c r="E28" s="228"/>
      <c r="F28" s="228"/>
      <c r="G28" s="228"/>
      <c r="H28" s="228"/>
      <c r="I28" s="228"/>
      <c r="J28" s="228"/>
      <c r="K28" s="228"/>
      <c r="L28" s="228"/>
      <c r="M28" s="228"/>
      <c r="N28" s="228"/>
      <c r="O28" s="228"/>
      <c r="P28" s="228"/>
      <c r="Q28" s="227">
        <f t="shared" si="0"/>
        <v>0</v>
      </c>
      <c r="S28" s="227">
        <f t="shared" si="1"/>
        <v>0</v>
      </c>
      <c r="T28" s="227" t="str">
        <f t="shared" si="2"/>
        <v>0 sacks</v>
      </c>
      <c r="U28" s="226" t="str">
        <f>_xlfn.IFNA(_xlfn.XLOOKUP('Mud Tally Page - DDR'!S28,'[1]Muds '!A$2:A$1051,'[1]Muds '!C$2:C$1051),"")</f>
        <v/>
      </c>
      <c r="V28" s="226" t="str">
        <f>_xlfn.IFNA(_xlfn.XLOOKUP('Mud Tally Page - DDR'!S28,'[1]Muds '!A$2:A$1051,'[1]Muds '!D$2:D$1051),"")</f>
        <v/>
      </c>
    </row>
    <row r="31" spans="1:22" x14ac:dyDescent="0.3">
      <c r="A31" t="s">
        <v>517</v>
      </c>
      <c r="B31" s="229" t="s">
        <v>518</v>
      </c>
    </row>
    <row r="32" spans="1:22" x14ac:dyDescent="0.3">
      <c r="B32" s="230"/>
    </row>
    <row r="33" spans="2:2" x14ac:dyDescent="0.3">
      <c r="B33" s="231"/>
    </row>
    <row r="34" spans="2:2" x14ac:dyDescent="0.3">
      <c r="B34" s="232"/>
    </row>
  </sheetData>
  <mergeCells count="2">
    <mergeCell ref="J1:K1"/>
    <mergeCell ref="S3:U3"/>
  </mergeCells>
  <pageMargins left="0.7" right="0.7" top="0.75" bottom="0.75" header="0.3" footer="0.3"/>
  <pageSetup orientation="landscape" r:id="rId1"/>
  <headerFooter>
    <oddHeader>&amp;L&amp;G</oddHeader>
    <oddFooter>&amp;LDW Mud Tally V1.2 - 2022</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FB86B-1E99-4481-B8D8-488064F6E332}">
  <sheetPr>
    <tabColor rgb="FF00B0F0"/>
  </sheetPr>
  <dimension ref="A1:V34"/>
  <sheetViews>
    <sheetView zoomScaleNormal="100" workbookViewId="0">
      <selection activeCell="A11" sqref="A11"/>
    </sheetView>
  </sheetViews>
  <sheetFormatPr defaultRowHeight="14.4" x14ac:dyDescent="0.3"/>
  <cols>
    <col min="1" max="1" width="24" customWidth="1"/>
    <col min="19" max="19" width="15.33203125" customWidth="1"/>
    <col min="20" max="20" width="15.109375" customWidth="1"/>
    <col min="21" max="21" width="42.5546875" customWidth="1"/>
    <col min="22" max="22" width="48.44140625" customWidth="1"/>
  </cols>
  <sheetData>
    <row r="1" spans="1:22" ht="18" x14ac:dyDescent="0.35">
      <c r="A1" s="209" t="s">
        <v>506</v>
      </c>
      <c r="I1" s="210" t="s">
        <v>507</v>
      </c>
      <c r="J1" s="378"/>
      <c r="K1" s="378"/>
    </row>
    <row r="2" spans="1:22" ht="18" x14ac:dyDescent="0.35">
      <c r="A2" s="211" t="s">
        <v>508</v>
      </c>
    </row>
    <row r="3" spans="1:22" ht="18" x14ac:dyDescent="0.35">
      <c r="A3" s="211" t="s">
        <v>55</v>
      </c>
      <c r="S3" s="379" t="s">
        <v>509</v>
      </c>
      <c r="T3" s="379"/>
      <c r="U3" s="379"/>
      <c r="V3" s="212"/>
    </row>
    <row r="4" spans="1:22" ht="15" thickBot="1" x14ac:dyDescent="0.35">
      <c r="B4" s="213" t="s">
        <v>510</v>
      </c>
    </row>
    <row r="5" spans="1:22" ht="43.8" thickBot="1" x14ac:dyDescent="0.35">
      <c r="A5" s="214" t="s">
        <v>511</v>
      </c>
      <c r="B5" s="215" t="s">
        <v>25</v>
      </c>
      <c r="C5" s="216" t="s">
        <v>25</v>
      </c>
      <c r="D5" s="216" t="s">
        <v>25</v>
      </c>
      <c r="E5" s="216" t="s">
        <v>25</v>
      </c>
      <c r="F5" s="216" t="s">
        <v>25</v>
      </c>
      <c r="G5" s="216" t="s">
        <v>25</v>
      </c>
      <c r="H5" s="216" t="s">
        <v>25</v>
      </c>
      <c r="I5" s="216" t="s">
        <v>25</v>
      </c>
      <c r="J5" s="216" t="s">
        <v>25</v>
      </c>
      <c r="K5" s="216" t="s">
        <v>25</v>
      </c>
      <c r="L5" s="216" t="s">
        <v>25</v>
      </c>
      <c r="M5" s="216" t="s">
        <v>25</v>
      </c>
      <c r="N5" s="216" t="s">
        <v>25</v>
      </c>
      <c r="O5" s="216" t="s">
        <v>25</v>
      </c>
      <c r="P5" s="216" t="s">
        <v>25</v>
      </c>
      <c r="Q5" s="217" t="s">
        <v>512</v>
      </c>
      <c r="S5" s="218" t="s">
        <v>513</v>
      </c>
      <c r="T5" s="219" t="s">
        <v>514</v>
      </c>
      <c r="U5" s="220" t="s">
        <v>515</v>
      </c>
      <c r="V5" s="221" t="s">
        <v>516</v>
      </c>
    </row>
    <row r="6" spans="1:22" x14ac:dyDescent="0.3">
      <c r="A6" s="222"/>
      <c r="B6" s="222"/>
      <c r="C6" s="222"/>
      <c r="D6" s="222"/>
      <c r="E6" s="222"/>
      <c r="F6" s="222"/>
      <c r="G6" s="222"/>
      <c r="H6" s="222"/>
      <c r="I6" s="222"/>
      <c r="J6" s="222"/>
      <c r="K6" s="222"/>
      <c r="L6" s="222"/>
      <c r="M6" s="222"/>
      <c r="N6" s="222"/>
      <c r="O6" s="222"/>
      <c r="P6" s="222"/>
      <c r="Q6" s="223">
        <f>SUM(B6:P6)</f>
        <v>0</v>
      </c>
      <c r="S6" s="224">
        <f>A6</f>
        <v>0</v>
      </c>
      <c r="T6" s="224" t="str">
        <f>Q6&amp;" sacks"</f>
        <v>0 sacks</v>
      </c>
      <c r="U6" s="225" t="str">
        <f>_xlfn.IFNA(_xlfn.XLOOKUP('Mud Tally Page - Tours'!S6,'Muds '!A$2:A$1051,'Muds '!C$2:C$1051),"")</f>
        <v/>
      </c>
      <c r="V6" s="226" t="str">
        <f>_xlfn.IFNA(_xlfn.XLOOKUP('Mud Tally Page - Tours'!S6,'Muds '!A$2:A$1051,'Muds '!D$2:D$1051),"")</f>
        <v/>
      </c>
    </row>
    <row r="7" spans="1:22" x14ac:dyDescent="0.3">
      <c r="A7" s="227"/>
      <c r="B7" s="227"/>
      <c r="C7" s="227"/>
      <c r="D7" s="227"/>
      <c r="E7" s="227"/>
      <c r="F7" s="227"/>
      <c r="G7" s="227"/>
      <c r="H7" s="227"/>
      <c r="I7" s="227"/>
      <c r="J7" s="227"/>
      <c r="K7" s="227"/>
      <c r="L7" s="227"/>
      <c r="M7" s="227"/>
      <c r="N7" s="227"/>
      <c r="O7" s="227"/>
      <c r="P7" s="227"/>
      <c r="Q7" s="227">
        <f t="shared" ref="Q7:Q28" si="0">SUM(B7:P7)</f>
        <v>0</v>
      </c>
      <c r="S7" s="227">
        <f t="shared" ref="S7:S28" si="1">A7</f>
        <v>0</v>
      </c>
      <c r="T7" s="227" t="str">
        <f t="shared" ref="T7:T28" si="2">Q7&amp;" sacks"</f>
        <v>0 sacks</v>
      </c>
      <c r="U7" s="226" t="str">
        <f>_xlfn.IFNA(_xlfn.XLOOKUP('Mud Tally Page - Tours'!S7,'Muds '!A$2:A$1051,'Muds '!C$2:C$1051),"")</f>
        <v/>
      </c>
      <c r="V7" s="226" t="str">
        <f>_xlfn.IFNA(_xlfn.XLOOKUP('Mud Tally Page - Tours'!S7,'Muds '!A$2:A$1051,'Muds '!D$2:D$1051),"")</f>
        <v/>
      </c>
    </row>
    <row r="8" spans="1:22" x14ac:dyDescent="0.3">
      <c r="A8" s="228"/>
      <c r="B8" s="228"/>
      <c r="C8" s="228"/>
      <c r="D8" s="228"/>
      <c r="E8" s="228"/>
      <c r="F8" s="228"/>
      <c r="G8" s="228"/>
      <c r="H8" s="228"/>
      <c r="I8" s="228"/>
      <c r="J8" s="228"/>
      <c r="K8" s="228"/>
      <c r="L8" s="228"/>
      <c r="M8" s="228"/>
      <c r="N8" s="228"/>
      <c r="O8" s="228"/>
      <c r="P8" s="228"/>
      <c r="Q8" s="227">
        <f t="shared" si="0"/>
        <v>0</v>
      </c>
      <c r="S8" s="227">
        <f t="shared" si="1"/>
        <v>0</v>
      </c>
      <c r="T8" s="227" t="str">
        <f t="shared" si="2"/>
        <v>0 sacks</v>
      </c>
      <c r="U8" s="226" t="str">
        <f>_xlfn.IFNA(_xlfn.XLOOKUP('Mud Tally Page - Tours'!S8,'Muds '!A$2:A$1051,'Muds '!C$2:C$1051),"")</f>
        <v/>
      </c>
      <c r="V8" s="226" t="str">
        <f>_xlfn.IFNA(_xlfn.XLOOKUP('Mud Tally Page - Tours'!S8,'Muds '!A$2:A$1051,'Muds '!D$2:D$1051),"")</f>
        <v/>
      </c>
    </row>
    <row r="9" spans="1:22" x14ac:dyDescent="0.3">
      <c r="A9" s="227"/>
      <c r="B9" s="227"/>
      <c r="C9" s="227"/>
      <c r="D9" s="227"/>
      <c r="E9" s="227"/>
      <c r="F9" s="227"/>
      <c r="G9" s="227"/>
      <c r="H9" s="227"/>
      <c r="I9" s="227"/>
      <c r="J9" s="227"/>
      <c r="K9" s="227"/>
      <c r="L9" s="227"/>
      <c r="M9" s="227"/>
      <c r="N9" s="227"/>
      <c r="O9" s="227"/>
      <c r="P9" s="227"/>
      <c r="Q9" s="227">
        <f t="shared" si="0"/>
        <v>0</v>
      </c>
      <c r="S9" s="227">
        <f t="shared" si="1"/>
        <v>0</v>
      </c>
      <c r="T9" s="227" t="str">
        <f t="shared" si="2"/>
        <v>0 sacks</v>
      </c>
      <c r="U9" s="226" t="str">
        <f>_xlfn.IFNA(_xlfn.XLOOKUP('Mud Tally Page - Tours'!S9,'Muds '!A$2:A$1051,'Muds '!C$2:C$1051),"")</f>
        <v/>
      </c>
      <c r="V9" s="226" t="str">
        <f>_xlfn.IFNA(_xlfn.XLOOKUP('Mud Tally Page - Tours'!S9,'Muds '!A$2:A$1051,'Muds '!D$2:D$1051),"")</f>
        <v/>
      </c>
    </row>
    <row r="10" spans="1:22" x14ac:dyDescent="0.3">
      <c r="A10" s="228"/>
      <c r="B10" s="228"/>
      <c r="C10" s="228"/>
      <c r="D10" s="228"/>
      <c r="E10" s="228"/>
      <c r="F10" s="228"/>
      <c r="G10" s="228"/>
      <c r="H10" s="228"/>
      <c r="I10" s="228"/>
      <c r="J10" s="228"/>
      <c r="K10" s="228"/>
      <c r="L10" s="228"/>
      <c r="M10" s="228"/>
      <c r="N10" s="228"/>
      <c r="O10" s="228"/>
      <c r="P10" s="228"/>
      <c r="Q10" s="227">
        <f t="shared" si="0"/>
        <v>0</v>
      </c>
      <c r="S10" s="227">
        <f t="shared" si="1"/>
        <v>0</v>
      </c>
      <c r="T10" s="227" t="str">
        <f t="shared" si="2"/>
        <v>0 sacks</v>
      </c>
      <c r="U10" s="226" t="str">
        <f>_xlfn.IFNA(_xlfn.XLOOKUP('Mud Tally Page - Tours'!S10,'Muds '!A$2:A$1051,'Muds '!C$2:C$1051),"")</f>
        <v/>
      </c>
      <c r="V10" s="226" t="str">
        <f>_xlfn.IFNA(_xlfn.XLOOKUP('Mud Tally Page - Tours'!S10,'Muds '!A$2:A$1051,'Muds '!D$2:D$1051),"")</f>
        <v/>
      </c>
    </row>
    <row r="11" spans="1:22" x14ac:dyDescent="0.3">
      <c r="A11" s="227"/>
      <c r="B11" s="227"/>
      <c r="C11" s="227"/>
      <c r="D11" s="227"/>
      <c r="E11" s="227"/>
      <c r="F11" s="227"/>
      <c r="G11" s="227"/>
      <c r="H11" s="227"/>
      <c r="I11" s="227"/>
      <c r="J11" s="227"/>
      <c r="K11" s="227"/>
      <c r="L11" s="227"/>
      <c r="M11" s="227"/>
      <c r="N11" s="227"/>
      <c r="O11" s="227"/>
      <c r="P11" s="227"/>
      <c r="Q11" s="227">
        <f t="shared" si="0"/>
        <v>0</v>
      </c>
      <c r="S11" s="227">
        <f t="shared" si="1"/>
        <v>0</v>
      </c>
      <c r="T11" s="227" t="str">
        <f t="shared" si="2"/>
        <v>0 sacks</v>
      </c>
      <c r="U11" s="226" t="str">
        <f>_xlfn.IFNA(_xlfn.XLOOKUP('Mud Tally Page - Tours'!S11,'Muds '!A$2:A$1051,'Muds '!C$2:C$1051),"")</f>
        <v/>
      </c>
      <c r="V11" s="226" t="str">
        <f>_xlfn.IFNA(_xlfn.XLOOKUP('Mud Tally Page - Tours'!S11,'Muds '!A$2:A$1051,'Muds '!D$2:D$1051),"")</f>
        <v/>
      </c>
    </row>
    <row r="12" spans="1:22" x14ac:dyDescent="0.3">
      <c r="A12" s="228"/>
      <c r="B12" s="228"/>
      <c r="C12" s="228"/>
      <c r="D12" s="228"/>
      <c r="E12" s="228"/>
      <c r="F12" s="228"/>
      <c r="G12" s="228"/>
      <c r="H12" s="228"/>
      <c r="I12" s="228"/>
      <c r="J12" s="228"/>
      <c r="K12" s="228"/>
      <c r="L12" s="228"/>
      <c r="M12" s="228"/>
      <c r="N12" s="228"/>
      <c r="O12" s="228"/>
      <c r="P12" s="228"/>
      <c r="Q12" s="227">
        <f t="shared" si="0"/>
        <v>0</v>
      </c>
      <c r="S12" s="227">
        <f t="shared" si="1"/>
        <v>0</v>
      </c>
      <c r="T12" s="227" t="str">
        <f t="shared" si="2"/>
        <v>0 sacks</v>
      </c>
      <c r="U12" s="226" t="str">
        <f>_xlfn.IFNA(_xlfn.XLOOKUP('Mud Tally Page - Tours'!S12,'Muds '!A$2:A$1051,'Muds '!C$2:C$1051),"")</f>
        <v/>
      </c>
      <c r="V12" s="226" t="str">
        <f>_xlfn.IFNA(_xlfn.XLOOKUP('Mud Tally Page - Tours'!S12,'Muds '!A$2:A$1051,'Muds '!D$2:D$1051),"")</f>
        <v/>
      </c>
    </row>
    <row r="13" spans="1:22" x14ac:dyDescent="0.3">
      <c r="A13" s="227"/>
      <c r="B13" s="227"/>
      <c r="C13" s="227"/>
      <c r="D13" s="227"/>
      <c r="E13" s="227"/>
      <c r="F13" s="227"/>
      <c r="G13" s="227"/>
      <c r="H13" s="227"/>
      <c r="I13" s="227"/>
      <c r="J13" s="227"/>
      <c r="K13" s="227"/>
      <c r="L13" s="227"/>
      <c r="M13" s="227"/>
      <c r="N13" s="227"/>
      <c r="O13" s="227"/>
      <c r="P13" s="227"/>
      <c r="Q13" s="227">
        <f t="shared" si="0"/>
        <v>0</v>
      </c>
      <c r="S13" s="227">
        <f t="shared" si="1"/>
        <v>0</v>
      </c>
      <c r="T13" s="227" t="str">
        <f t="shared" si="2"/>
        <v>0 sacks</v>
      </c>
      <c r="U13" s="226" t="str">
        <f>_xlfn.IFNA(_xlfn.XLOOKUP('Mud Tally Page - Tours'!S13,'Muds '!A$2:A$1051,'Muds '!C$2:C$1051),"")</f>
        <v/>
      </c>
      <c r="V13" s="226" t="str">
        <f>_xlfn.IFNA(_xlfn.XLOOKUP('Mud Tally Page - Tours'!S13,'Muds '!A$2:A$1051,'Muds '!D$2:D$1051),"")</f>
        <v/>
      </c>
    </row>
    <row r="14" spans="1:22" x14ac:dyDescent="0.3">
      <c r="A14" s="228"/>
      <c r="B14" s="228"/>
      <c r="C14" s="228"/>
      <c r="D14" s="228"/>
      <c r="E14" s="228"/>
      <c r="F14" s="228"/>
      <c r="G14" s="228"/>
      <c r="H14" s="228"/>
      <c r="I14" s="228"/>
      <c r="J14" s="228"/>
      <c r="K14" s="228"/>
      <c r="L14" s="228"/>
      <c r="M14" s="228"/>
      <c r="N14" s="228"/>
      <c r="O14" s="228"/>
      <c r="P14" s="228"/>
      <c r="Q14" s="227">
        <f t="shared" si="0"/>
        <v>0</v>
      </c>
      <c r="S14" s="227">
        <f t="shared" si="1"/>
        <v>0</v>
      </c>
      <c r="T14" s="227" t="str">
        <f t="shared" si="2"/>
        <v>0 sacks</v>
      </c>
      <c r="U14" s="226" t="str">
        <f>_xlfn.IFNA(_xlfn.XLOOKUP('Mud Tally Page - Tours'!S14,'Muds '!A$2:A$1051,'Muds '!C$2:C$1051),"")</f>
        <v/>
      </c>
      <c r="V14" s="226" t="str">
        <f>_xlfn.IFNA(_xlfn.XLOOKUP('Mud Tally Page - Tours'!S14,'Muds '!A$2:A$1051,'Muds '!D$2:D$1051),"")</f>
        <v/>
      </c>
    </row>
    <row r="15" spans="1:22" x14ac:dyDescent="0.3">
      <c r="A15" s="227"/>
      <c r="B15" s="227"/>
      <c r="C15" s="227"/>
      <c r="D15" s="227"/>
      <c r="E15" s="227"/>
      <c r="F15" s="227"/>
      <c r="G15" s="227"/>
      <c r="H15" s="227"/>
      <c r="I15" s="227"/>
      <c r="J15" s="227"/>
      <c r="K15" s="227"/>
      <c r="L15" s="227"/>
      <c r="M15" s="227"/>
      <c r="N15" s="227"/>
      <c r="O15" s="227"/>
      <c r="P15" s="227"/>
      <c r="Q15" s="227">
        <f t="shared" si="0"/>
        <v>0</v>
      </c>
      <c r="S15" s="227">
        <f t="shared" si="1"/>
        <v>0</v>
      </c>
      <c r="T15" s="227" t="str">
        <f t="shared" si="2"/>
        <v>0 sacks</v>
      </c>
      <c r="U15" s="226" t="str">
        <f>_xlfn.IFNA(_xlfn.XLOOKUP('Mud Tally Page - Tours'!S15,'Muds '!A$2:A$1051,'Muds '!C$2:C$1051),"")</f>
        <v/>
      </c>
      <c r="V15" s="226" t="str">
        <f>_xlfn.IFNA(_xlfn.XLOOKUP('Mud Tally Page - Tours'!S15,'Muds '!A$2:A$1051,'Muds '!D$2:D$1051),"")</f>
        <v/>
      </c>
    </row>
    <row r="16" spans="1:22" x14ac:dyDescent="0.3">
      <c r="A16" s="228"/>
      <c r="B16" s="228"/>
      <c r="C16" s="228"/>
      <c r="D16" s="228"/>
      <c r="E16" s="228"/>
      <c r="F16" s="228"/>
      <c r="G16" s="228"/>
      <c r="H16" s="228"/>
      <c r="I16" s="228"/>
      <c r="J16" s="228"/>
      <c r="K16" s="228"/>
      <c r="L16" s="228"/>
      <c r="M16" s="228"/>
      <c r="N16" s="228"/>
      <c r="O16" s="228"/>
      <c r="P16" s="228"/>
      <c r="Q16" s="227">
        <f t="shared" si="0"/>
        <v>0</v>
      </c>
      <c r="S16" s="227">
        <f t="shared" si="1"/>
        <v>0</v>
      </c>
      <c r="T16" s="227" t="str">
        <f t="shared" si="2"/>
        <v>0 sacks</v>
      </c>
      <c r="U16" s="226" t="str">
        <f>_xlfn.IFNA(_xlfn.XLOOKUP('Mud Tally Page - Tours'!S16,'Muds '!A$2:A$1051,'Muds '!C$2:C$1051),"")</f>
        <v/>
      </c>
      <c r="V16" s="226" t="str">
        <f>_xlfn.IFNA(_xlfn.XLOOKUP('Mud Tally Page - Tours'!S16,'Muds '!A$2:A$1051,'Muds '!D$2:D$1051),"")</f>
        <v/>
      </c>
    </row>
    <row r="17" spans="1:22" x14ac:dyDescent="0.3">
      <c r="A17" s="227"/>
      <c r="B17" s="227"/>
      <c r="C17" s="227"/>
      <c r="D17" s="227"/>
      <c r="E17" s="227"/>
      <c r="F17" s="227"/>
      <c r="G17" s="227"/>
      <c r="H17" s="227"/>
      <c r="I17" s="227"/>
      <c r="J17" s="227"/>
      <c r="K17" s="227"/>
      <c r="L17" s="227"/>
      <c r="M17" s="227"/>
      <c r="N17" s="227"/>
      <c r="O17" s="227"/>
      <c r="P17" s="227"/>
      <c r="Q17" s="227">
        <f t="shared" si="0"/>
        <v>0</v>
      </c>
      <c r="S17" s="227">
        <f t="shared" si="1"/>
        <v>0</v>
      </c>
      <c r="T17" s="227" t="str">
        <f t="shared" si="2"/>
        <v>0 sacks</v>
      </c>
      <c r="U17" s="226" t="str">
        <f>_xlfn.IFNA(_xlfn.XLOOKUP('Mud Tally Page - Tours'!S17,'Muds '!A$2:A$1051,'Muds '!C$2:C$1051),"")</f>
        <v/>
      </c>
      <c r="V17" s="226" t="str">
        <f>_xlfn.IFNA(_xlfn.XLOOKUP('Mud Tally Page - Tours'!S17,'Muds '!A$2:A$1051,'Muds '!D$2:D$1051),"")</f>
        <v/>
      </c>
    </row>
    <row r="18" spans="1:22" x14ac:dyDescent="0.3">
      <c r="A18" s="228"/>
      <c r="B18" s="228"/>
      <c r="C18" s="228"/>
      <c r="D18" s="228"/>
      <c r="E18" s="228"/>
      <c r="F18" s="228"/>
      <c r="G18" s="228"/>
      <c r="H18" s="228"/>
      <c r="I18" s="228"/>
      <c r="J18" s="228"/>
      <c r="K18" s="228"/>
      <c r="L18" s="228"/>
      <c r="M18" s="228"/>
      <c r="N18" s="228"/>
      <c r="O18" s="228"/>
      <c r="P18" s="228"/>
      <c r="Q18" s="227">
        <f t="shared" si="0"/>
        <v>0</v>
      </c>
      <c r="S18" s="227">
        <f t="shared" si="1"/>
        <v>0</v>
      </c>
      <c r="T18" s="227" t="str">
        <f t="shared" si="2"/>
        <v>0 sacks</v>
      </c>
      <c r="U18" s="226" t="str">
        <f>_xlfn.IFNA(_xlfn.XLOOKUP('Mud Tally Page - Tours'!S18,'Muds '!A$2:A$1051,'Muds '!C$2:C$1051),"")</f>
        <v/>
      </c>
      <c r="V18" s="226" t="str">
        <f>_xlfn.IFNA(_xlfn.XLOOKUP('Mud Tally Page - Tours'!S18,'Muds '!A$2:A$1051,'Muds '!D$2:D$1051),"")</f>
        <v/>
      </c>
    </row>
    <row r="19" spans="1:22" x14ac:dyDescent="0.3">
      <c r="A19" s="227"/>
      <c r="B19" s="227"/>
      <c r="C19" s="227"/>
      <c r="D19" s="227"/>
      <c r="E19" s="227"/>
      <c r="F19" s="227"/>
      <c r="G19" s="227"/>
      <c r="H19" s="227"/>
      <c r="I19" s="227"/>
      <c r="J19" s="227"/>
      <c r="K19" s="227"/>
      <c r="L19" s="227"/>
      <c r="M19" s="227"/>
      <c r="N19" s="227"/>
      <c r="O19" s="227"/>
      <c r="P19" s="227"/>
      <c r="Q19" s="227">
        <f t="shared" si="0"/>
        <v>0</v>
      </c>
      <c r="S19" s="227">
        <f t="shared" si="1"/>
        <v>0</v>
      </c>
      <c r="T19" s="227" t="str">
        <f t="shared" si="2"/>
        <v>0 sacks</v>
      </c>
      <c r="U19" s="226" t="str">
        <f>_xlfn.IFNA(_xlfn.XLOOKUP('Mud Tally Page - Tours'!S19,'Muds '!A$2:A$1051,'Muds '!C$2:C$1051),"")</f>
        <v/>
      </c>
      <c r="V19" s="226" t="str">
        <f>_xlfn.IFNA(_xlfn.XLOOKUP('Mud Tally Page - Tours'!S19,'Muds '!A$2:A$1051,'Muds '!D$2:D$1051),"")</f>
        <v/>
      </c>
    </row>
    <row r="20" spans="1:22" x14ac:dyDescent="0.3">
      <c r="A20" s="228"/>
      <c r="B20" s="228"/>
      <c r="C20" s="228"/>
      <c r="D20" s="228"/>
      <c r="E20" s="228"/>
      <c r="F20" s="228"/>
      <c r="G20" s="228"/>
      <c r="H20" s="228"/>
      <c r="I20" s="228"/>
      <c r="J20" s="228"/>
      <c r="K20" s="228"/>
      <c r="L20" s="228"/>
      <c r="M20" s="228"/>
      <c r="N20" s="228"/>
      <c r="O20" s="228"/>
      <c r="P20" s="228"/>
      <c r="Q20" s="227">
        <f t="shared" si="0"/>
        <v>0</v>
      </c>
      <c r="S20" s="227">
        <f t="shared" si="1"/>
        <v>0</v>
      </c>
      <c r="T20" s="227" t="str">
        <f t="shared" si="2"/>
        <v>0 sacks</v>
      </c>
      <c r="U20" s="226" t="str">
        <f>_xlfn.IFNA(_xlfn.XLOOKUP('Mud Tally Page - Tours'!S20,'Muds '!A$2:A$1051,'Muds '!C$2:C$1051),"")</f>
        <v/>
      </c>
      <c r="V20" s="226" t="str">
        <f>_xlfn.IFNA(_xlfn.XLOOKUP('Mud Tally Page - Tours'!S20,'Muds '!A$2:A$1051,'Muds '!D$2:D$1051),"")</f>
        <v/>
      </c>
    </row>
    <row r="21" spans="1:22" x14ac:dyDescent="0.3">
      <c r="A21" s="227"/>
      <c r="B21" s="227"/>
      <c r="C21" s="227"/>
      <c r="D21" s="227"/>
      <c r="E21" s="227"/>
      <c r="F21" s="227"/>
      <c r="G21" s="227"/>
      <c r="H21" s="227"/>
      <c r="I21" s="227"/>
      <c r="J21" s="227"/>
      <c r="K21" s="227"/>
      <c r="L21" s="227"/>
      <c r="M21" s="227"/>
      <c r="N21" s="227"/>
      <c r="O21" s="227"/>
      <c r="P21" s="227"/>
      <c r="Q21" s="227">
        <f t="shared" si="0"/>
        <v>0</v>
      </c>
      <c r="S21" s="227">
        <f t="shared" si="1"/>
        <v>0</v>
      </c>
      <c r="T21" s="227" t="str">
        <f t="shared" si="2"/>
        <v>0 sacks</v>
      </c>
      <c r="U21" s="226" t="str">
        <f>_xlfn.IFNA(_xlfn.XLOOKUP('Mud Tally Page - Tours'!S21,'Muds '!A$2:A$1051,'Muds '!C$2:C$1051),"")</f>
        <v/>
      </c>
      <c r="V21" s="226" t="str">
        <f>_xlfn.IFNA(_xlfn.XLOOKUP('Mud Tally Page - Tours'!S21,'Muds '!A$2:A$1051,'Muds '!D$2:D$1051),"")</f>
        <v/>
      </c>
    </row>
    <row r="22" spans="1:22" x14ac:dyDescent="0.3">
      <c r="A22" s="228"/>
      <c r="B22" s="228"/>
      <c r="C22" s="228"/>
      <c r="D22" s="228"/>
      <c r="E22" s="228"/>
      <c r="F22" s="228"/>
      <c r="G22" s="228"/>
      <c r="H22" s="228"/>
      <c r="I22" s="228"/>
      <c r="J22" s="228"/>
      <c r="K22" s="228"/>
      <c r="L22" s="228"/>
      <c r="M22" s="228"/>
      <c r="N22" s="228"/>
      <c r="O22" s="228"/>
      <c r="P22" s="228"/>
      <c r="Q22" s="227">
        <f t="shared" si="0"/>
        <v>0</v>
      </c>
      <c r="S22" s="227">
        <f t="shared" si="1"/>
        <v>0</v>
      </c>
      <c r="T22" s="227" t="str">
        <f t="shared" si="2"/>
        <v>0 sacks</v>
      </c>
      <c r="U22" s="226" t="str">
        <f>_xlfn.IFNA(_xlfn.XLOOKUP('Mud Tally Page - Tours'!S22,'Muds '!A$2:A$1051,'Muds '!C$2:C$1051),"")</f>
        <v/>
      </c>
      <c r="V22" s="226" t="str">
        <f>_xlfn.IFNA(_xlfn.XLOOKUP('Mud Tally Page - Tours'!S22,'Muds '!A$2:A$1051,'Muds '!D$2:D$1051),"")</f>
        <v/>
      </c>
    </row>
    <row r="23" spans="1:22" x14ac:dyDescent="0.3">
      <c r="A23" s="227"/>
      <c r="B23" s="227"/>
      <c r="C23" s="227"/>
      <c r="D23" s="227"/>
      <c r="E23" s="227"/>
      <c r="F23" s="227"/>
      <c r="G23" s="227"/>
      <c r="H23" s="227"/>
      <c r="I23" s="227"/>
      <c r="J23" s="227"/>
      <c r="K23" s="227"/>
      <c r="L23" s="227"/>
      <c r="M23" s="227"/>
      <c r="N23" s="227"/>
      <c r="O23" s="227"/>
      <c r="P23" s="227"/>
      <c r="Q23" s="227">
        <f t="shared" si="0"/>
        <v>0</v>
      </c>
      <c r="S23" s="227">
        <f t="shared" si="1"/>
        <v>0</v>
      </c>
      <c r="T23" s="227" t="str">
        <f t="shared" si="2"/>
        <v>0 sacks</v>
      </c>
      <c r="U23" s="226" t="str">
        <f>_xlfn.IFNA(_xlfn.XLOOKUP('Mud Tally Page - Tours'!S23,'Muds '!A$2:A$1051,'Muds '!C$2:C$1051),"")</f>
        <v/>
      </c>
      <c r="V23" s="226" t="str">
        <f>_xlfn.IFNA(_xlfn.XLOOKUP('Mud Tally Page - Tours'!S23,'Muds '!A$2:A$1051,'Muds '!D$2:D$1051),"")</f>
        <v/>
      </c>
    </row>
    <row r="24" spans="1:22" x14ac:dyDescent="0.3">
      <c r="A24" s="228"/>
      <c r="B24" s="228"/>
      <c r="C24" s="228"/>
      <c r="D24" s="228"/>
      <c r="E24" s="228"/>
      <c r="F24" s="228"/>
      <c r="G24" s="228"/>
      <c r="H24" s="228"/>
      <c r="I24" s="228"/>
      <c r="J24" s="228"/>
      <c r="K24" s="228"/>
      <c r="L24" s="228"/>
      <c r="M24" s="228"/>
      <c r="N24" s="228"/>
      <c r="O24" s="228"/>
      <c r="P24" s="228"/>
      <c r="Q24" s="227">
        <f t="shared" si="0"/>
        <v>0</v>
      </c>
      <c r="S24" s="227">
        <f t="shared" si="1"/>
        <v>0</v>
      </c>
      <c r="T24" s="227" t="str">
        <f t="shared" si="2"/>
        <v>0 sacks</v>
      </c>
      <c r="U24" s="226" t="str">
        <f>_xlfn.IFNA(_xlfn.XLOOKUP('Mud Tally Page - Tours'!S24,'Muds '!A$2:A$1051,'Muds '!C$2:C$1051),"")</f>
        <v/>
      </c>
      <c r="V24" s="226" t="str">
        <f>_xlfn.IFNA(_xlfn.XLOOKUP('Mud Tally Page - Tours'!S24,'Muds '!A$2:A$1051,'Muds '!D$2:D$1051),"")</f>
        <v/>
      </c>
    </row>
    <row r="25" spans="1:22" x14ac:dyDescent="0.3">
      <c r="A25" s="227"/>
      <c r="B25" s="227"/>
      <c r="C25" s="227"/>
      <c r="D25" s="227"/>
      <c r="E25" s="227"/>
      <c r="F25" s="227"/>
      <c r="G25" s="227"/>
      <c r="H25" s="227"/>
      <c r="I25" s="227"/>
      <c r="J25" s="227"/>
      <c r="K25" s="227"/>
      <c r="L25" s="227"/>
      <c r="M25" s="227"/>
      <c r="N25" s="227"/>
      <c r="O25" s="227"/>
      <c r="P25" s="227"/>
      <c r="Q25" s="227">
        <f t="shared" si="0"/>
        <v>0</v>
      </c>
      <c r="S25" s="227">
        <f t="shared" si="1"/>
        <v>0</v>
      </c>
      <c r="T25" s="227" t="str">
        <f t="shared" si="2"/>
        <v>0 sacks</v>
      </c>
      <c r="U25" s="226" t="str">
        <f>_xlfn.IFNA(_xlfn.XLOOKUP('Mud Tally Page - Tours'!S25,'Muds '!A$2:A$1051,'Muds '!C$2:C$1051),"")</f>
        <v/>
      </c>
      <c r="V25" s="226" t="str">
        <f>_xlfn.IFNA(_xlfn.XLOOKUP('Mud Tally Page - Tours'!S25,'Muds '!A$2:A$1051,'Muds '!D$2:D$1051),"")</f>
        <v/>
      </c>
    </row>
    <row r="26" spans="1:22" x14ac:dyDescent="0.3">
      <c r="A26" s="228"/>
      <c r="B26" s="228"/>
      <c r="C26" s="228"/>
      <c r="D26" s="228"/>
      <c r="E26" s="228"/>
      <c r="F26" s="228"/>
      <c r="G26" s="228"/>
      <c r="H26" s="228"/>
      <c r="I26" s="228"/>
      <c r="J26" s="228"/>
      <c r="K26" s="228"/>
      <c r="L26" s="228"/>
      <c r="M26" s="228"/>
      <c r="N26" s="228"/>
      <c r="O26" s="228"/>
      <c r="P26" s="228"/>
      <c r="Q26" s="227">
        <f t="shared" si="0"/>
        <v>0</v>
      </c>
      <c r="S26" s="227">
        <f t="shared" si="1"/>
        <v>0</v>
      </c>
      <c r="T26" s="227" t="str">
        <f t="shared" si="2"/>
        <v>0 sacks</v>
      </c>
      <c r="U26" s="226" t="str">
        <f>_xlfn.IFNA(_xlfn.XLOOKUP('Mud Tally Page - Tours'!S26,'Muds '!A$2:A$1051,'Muds '!C$2:C$1051),"")</f>
        <v/>
      </c>
      <c r="V26" s="226" t="str">
        <f>_xlfn.IFNA(_xlfn.XLOOKUP('Mud Tally Page - Tours'!S26,'Muds '!A$2:A$1051,'Muds '!D$2:D$1051),"")</f>
        <v/>
      </c>
    </row>
    <row r="27" spans="1:22" x14ac:dyDescent="0.3">
      <c r="A27" s="227"/>
      <c r="B27" s="227"/>
      <c r="C27" s="227"/>
      <c r="D27" s="227"/>
      <c r="E27" s="227"/>
      <c r="F27" s="227"/>
      <c r="G27" s="227"/>
      <c r="H27" s="227"/>
      <c r="I27" s="227"/>
      <c r="J27" s="227"/>
      <c r="K27" s="227"/>
      <c r="L27" s="227"/>
      <c r="M27" s="227"/>
      <c r="N27" s="227"/>
      <c r="O27" s="227"/>
      <c r="P27" s="227"/>
      <c r="Q27" s="227">
        <f t="shared" si="0"/>
        <v>0</v>
      </c>
      <c r="S27" s="227">
        <f t="shared" si="1"/>
        <v>0</v>
      </c>
      <c r="T27" s="227" t="str">
        <f t="shared" si="2"/>
        <v>0 sacks</v>
      </c>
      <c r="U27" s="226" t="str">
        <f>_xlfn.IFNA(_xlfn.XLOOKUP('Mud Tally Page - Tours'!S27,'Muds '!A$2:A$1051,'Muds '!C$2:C$1051),"")</f>
        <v/>
      </c>
      <c r="V27" s="226" t="str">
        <f>_xlfn.IFNA(_xlfn.XLOOKUP('Mud Tally Page - Tours'!S27,'Muds '!A$2:A$1051,'Muds '!D$2:D$1051),"")</f>
        <v/>
      </c>
    </row>
    <row r="28" spans="1:22" x14ac:dyDescent="0.3">
      <c r="A28" s="228"/>
      <c r="B28" s="228"/>
      <c r="C28" s="228"/>
      <c r="D28" s="228"/>
      <c r="E28" s="228"/>
      <c r="F28" s="228"/>
      <c r="G28" s="228"/>
      <c r="H28" s="228"/>
      <c r="I28" s="228"/>
      <c r="J28" s="228"/>
      <c r="K28" s="228"/>
      <c r="L28" s="228"/>
      <c r="M28" s="228"/>
      <c r="N28" s="228"/>
      <c r="O28" s="228"/>
      <c r="P28" s="228"/>
      <c r="Q28" s="227">
        <f t="shared" si="0"/>
        <v>0</v>
      </c>
      <c r="S28" s="227">
        <f t="shared" si="1"/>
        <v>0</v>
      </c>
      <c r="T28" s="227" t="str">
        <f t="shared" si="2"/>
        <v>0 sacks</v>
      </c>
      <c r="U28" s="226" t="str">
        <f>_xlfn.IFNA(_xlfn.XLOOKUP('Mud Tally Page - Tours'!S28,'Muds '!A$2:A$1051,'Muds '!C$2:C$1051),"")</f>
        <v/>
      </c>
      <c r="V28" s="226" t="str">
        <f>_xlfn.IFNA(_xlfn.XLOOKUP('Mud Tally Page - Tours'!S28,'Muds '!A$2:A$1051,'Muds '!D$2:D$1051),"")</f>
        <v/>
      </c>
    </row>
    <row r="31" spans="1:22" x14ac:dyDescent="0.3">
      <c r="A31" t="s">
        <v>517</v>
      </c>
      <c r="B31" s="229" t="s">
        <v>518</v>
      </c>
    </row>
    <row r="32" spans="1:22" x14ac:dyDescent="0.3">
      <c r="B32" s="230"/>
    </row>
    <row r="33" spans="2:2" x14ac:dyDescent="0.3">
      <c r="B33" s="231"/>
    </row>
    <row r="34" spans="2:2" x14ac:dyDescent="0.3">
      <c r="B34" s="232"/>
    </row>
  </sheetData>
  <mergeCells count="2">
    <mergeCell ref="J1:K1"/>
    <mergeCell ref="S3:U3"/>
  </mergeCells>
  <pageMargins left="0.7" right="0.7" top="0.75" bottom="0.75" header="0.3" footer="0.3"/>
  <pageSetup orientation="landscape" r:id="rId1"/>
  <headerFooter>
    <oddHeader>&amp;L&amp;G</oddHeader>
    <oddFooter>&amp;LDW Mud Tally V1.2 - 2022</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r:uid="{5DA0A5D0-A1A1-4C11-91F9-CEAB97624CA2}">
          <x14:formula1>
            <xm:f>'Muds '!$A$2:$A$1051</xm:f>
          </x14:formula1>
          <xm:sqref>A6:A28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CD414-CB50-4EDF-A5D3-09193A122073}">
  <sheetPr>
    <tabColor theme="0"/>
  </sheetPr>
  <dimension ref="A1:Q5"/>
  <sheetViews>
    <sheetView zoomScaleNormal="100" workbookViewId="0">
      <selection activeCell="C22" sqref="C22"/>
    </sheetView>
  </sheetViews>
  <sheetFormatPr defaultRowHeight="14.4" x14ac:dyDescent="0.3"/>
  <cols>
    <col min="1" max="2" width="21.109375" customWidth="1"/>
    <col min="4" max="5" width="19.88671875" customWidth="1"/>
    <col min="7" max="8" width="21.33203125" customWidth="1"/>
  </cols>
  <sheetData>
    <row r="1" spans="1:17" x14ac:dyDescent="0.3">
      <c r="A1" t="s">
        <v>519</v>
      </c>
      <c r="D1" s="232" t="s">
        <v>520</v>
      </c>
      <c r="E1" s="232"/>
      <c r="G1" t="s">
        <v>521</v>
      </c>
    </row>
    <row r="3" spans="1:17" ht="15" thickBot="1" x14ac:dyDescent="0.35"/>
    <row r="4" spans="1:17" ht="15" thickBot="1" x14ac:dyDescent="0.35">
      <c r="A4" s="218" t="s">
        <v>513</v>
      </c>
      <c r="B4" s="220" t="s">
        <v>514</v>
      </c>
      <c r="D4" s="218" t="s">
        <v>513</v>
      </c>
      <c r="E4" s="220" t="s">
        <v>514</v>
      </c>
      <c r="G4" s="218" t="s">
        <v>513</v>
      </c>
      <c r="H4" s="220" t="s">
        <v>514</v>
      </c>
    </row>
    <row r="5" spans="1:17" x14ac:dyDescent="0.3">
      <c r="A5" s="233"/>
      <c r="B5" s="233"/>
      <c r="C5" s="233"/>
      <c r="D5" s="233"/>
      <c r="E5" s="233"/>
      <c r="F5" s="233"/>
      <c r="G5" s="233"/>
      <c r="H5" s="233"/>
      <c r="I5" s="233"/>
      <c r="J5" s="233"/>
      <c r="K5" s="233"/>
      <c r="L5" s="233"/>
      <c r="M5" s="233"/>
      <c r="N5" s="233"/>
      <c r="O5" s="233"/>
      <c r="P5" s="233"/>
      <c r="Q5" s="233"/>
    </row>
  </sheetData>
  <pageMargins left="0.7" right="0.7" top="0.75" bottom="0.75" header="0.3" footer="0.3"/>
  <pageSetup orientation="landscape" r:id="rId1"/>
  <headerFooter>
    <oddHeader>&amp;L&amp;G</oddHeader>
    <oddFooter>&amp;LDW Mud Tally V1.2 - 2022</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A4BD8-148B-4614-A39F-823A4A03B8A0}">
  <sheetPr>
    <tabColor theme="0"/>
  </sheetPr>
  <dimension ref="A1:J13"/>
  <sheetViews>
    <sheetView workbookViewId="0">
      <selection activeCell="C22" sqref="C22"/>
    </sheetView>
  </sheetViews>
  <sheetFormatPr defaultRowHeight="14.4" x14ac:dyDescent="0.3"/>
  <sheetData>
    <row r="1" spans="1:10" ht="21.75" customHeight="1" x14ac:dyDescent="0.3">
      <c r="A1" s="380" t="s">
        <v>522</v>
      </c>
      <c r="B1" s="381"/>
      <c r="C1" s="381"/>
      <c r="D1" s="381"/>
      <c r="E1" s="381"/>
      <c r="F1" s="381"/>
      <c r="G1" s="381"/>
      <c r="H1" s="381"/>
      <c r="I1" s="381"/>
      <c r="J1" s="382"/>
    </row>
    <row r="2" spans="1:10" ht="21.75" customHeight="1" x14ac:dyDescent="0.3">
      <c r="A2" s="383"/>
      <c r="B2" s="384"/>
      <c r="C2" s="384"/>
      <c r="D2" s="384"/>
      <c r="E2" s="384"/>
      <c r="F2" s="384"/>
      <c r="G2" s="384"/>
      <c r="H2" s="384"/>
      <c r="I2" s="384"/>
      <c r="J2" s="385"/>
    </row>
    <row r="3" spans="1:10" ht="21.75" customHeight="1" thickBot="1" x14ac:dyDescent="0.35">
      <c r="A3" s="386"/>
      <c r="B3" s="387"/>
      <c r="C3" s="387"/>
      <c r="D3" s="387"/>
      <c r="E3" s="387"/>
      <c r="F3" s="387"/>
      <c r="G3" s="387"/>
      <c r="H3" s="387"/>
      <c r="I3" s="387"/>
      <c r="J3" s="388"/>
    </row>
    <row r="4" spans="1:10" ht="21.75" customHeight="1" x14ac:dyDescent="0.3">
      <c r="A4" s="234"/>
      <c r="B4" s="234"/>
      <c r="C4" s="234"/>
      <c r="D4" s="234"/>
      <c r="E4" s="234"/>
      <c r="F4" s="234"/>
      <c r="G4" s="234"/>
      <c r="H4" s="234"/>
      <c r="I4" s="234"/>
      <c r="J4" s="234"/>
    </row>
    <row r="5" spans="1:10" x14ac:dyDescent="0.3">
      <c r="A5" s="235" t="s">
        <v>523</v>
      </c>
    </row>
    <row r="6" spans="1:10" x14ac:dyDescent="0.3">
      <c r="A6" s="236"/>
    </row>
    <row r="7" spans="1:10" x14ac:dyDescent="0.3">
      <c r="A7" s="236" t="s">
        <v>524</v>
      </c>
    </row>
    <row r="8" spans="1:10" x14ac:dyDescent="0.3">
      <c r="A8" s="237" t="s">
        <v>525</v>
      </c>
    </row>
    <row r="9" spans="1:10" x14ac:dyDescent="0.3">
      <c r="A9" s="238" t="s">
        <v>526</v>
      </c>
    </row>
    <row r="10" spans="1:10" x14ac:dyDescent="0.3">
      <c r="A10" s="236" t="s">
        <v>527</v>
      </c>
    </row>
    <row r="11" spans="1:10" x14ac:dyDescent="0.3">
      <c r="A11" s="236" t="s">
        <v>528</v>
      </c>
    </row>
    <row r="12" spans="1:10" x14ac:dyDescent="0.3">
      <c r="A12" s="236" t="s">
        <v>529</v>
      </c>
    </row>
    <row r="13" spans="1:10" x14ac:dyDescent="0.3">
      <c r="A13" s="239"/>
    </row>
  </sheetData>
  <mergeCells count="1">
    <mergeCell ref="A1:J3"/>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FC650-A798-4560-8E09-DB4D25D1F01D}">
  <sheetPr>
    <tabColor theme="0"/>
  </sheetPr>
  <dimension ref="A1:E22"/>
  <sheetViews>
    <sheetView workbookViewId="0">
      <selection activeCell="C800" sqref="C800"/>
    </sheetView>
  </sheetViews>
  <sheetFormatPr defaultRowHeight="14.4" x14ac:dyDescent="0.3"/>
  <cols>
    <col min="1" max="1" width="14.109375" customWidth="1"/>
    <col min="4" max="4" width="17" customWidth="1"/>
  </cols>
  <sheetData>
    <row r="1" spans="1:5" x14ac:dyDescent="0.3">
      <c r="A1" t="s">
        <v>530</v>
      </c>
    </row>
    <row r="3" spans="1:5" x14ac:dyDescent="0.3">
      <c r="A3" s="240" t="s">
        <v>531</v>
      </c>
    </row>
    <row r="7" spans="1:5" x14ac:dyDescent="0.3">
      <c r="A7" s="240" t="s">
        <v>532</v>
      </c>
    </row>
    <row r="8" spans="1:5" ht="15" thickBot="1" x14ac:dyDescent="0.35"/>
    <row r="9" spans="1:5" ht="15" thickBot="1" x14ac:dyDescent="0.35">
      <c r="A9" t="s">
        <v>533</v>
      </c>
      <c r="B9" s="241">
        <v>100</v>
      </c>
      <c r="D9" s="210" t="s">
        <v>534</v>
      </c>
      <c r="E9" s="242">
        <f>B9/2.205</f>
        <v>45.351473922902493</v>
      </c>
    </row>
    <row r="10" spans="1:5" x14ac:dyDescent="0.3">
      <c r="D10" s="210"/>
    </row>
    <row r="11" spans="1:5" x14ac:dyDescent="0.3">
      <c r="A11" s="240" t="s">
        <v>535</v>
      </c>
      <c r="D11" s="210"/>
    </row>
    <row r="12" spans="1:5" x14ac:dyDescent="0.3">
      <c r="D12" s="210"/>
    </row>
    <row r="13" spans="1:5" ht="15" thickBot="1" x14ac:dyDescent="0.35">
      <c r="A13" t="s">
        <v>536</v>
      </c>
      <c r="D13" s="210"/>
    </row>
    <row r="14" spans="1:5" ht="15" thickBot="1" x14ac:dyDescent="0.35">
      <c r="A14" t="s">
        <v>537</v>
      </c>
      <c r="B14" s="241">
        <v>40</v>
      </c>
    </row>
    <row r="15" spans="1:5" ht="15" thickBot="1" x14ac:dyDescent="0.35">
      <c r="A15" t="s">
        <v>538</v>
      </c>
      <c r="B15" s="243">
        <v>3</v>
      </c>
      <c r="D15" s="210" t="s">
        <v>539</v>
      </c>
      <c r="E15" s="244">
        <f>(B14/25)*B15</f>
        <v>4.8000000000000007</v>
      </c>
    </row>
    <row r="17" spans="1:5" x14ac:dyDescent="0.3">
      <c r="A17" s="240" t="s">
        <v>540</v>
      </c>
    </row>
    <row r="19" spans="1:5" ht="15" thickBot="1" x14ac:dyDescent="0.35">
      <c r="A19" t="s">
        <v>536</v>
      </c>
      <c r="D19" s="210"/>
    </row>
    <row r="20" spans="1:5" ht="15" thickBot="1" x14ac:dyDescent="0.35">
      <c r="A20" t="s">
        <v>541</v>
      </c>
      <c r="B20" s="241">
        <v>100</v>
      </c>
      <c r="D20" s="245" t="s">
        <v>534</v>
      </c>
      <c r="E20" s="246">
        <f>B20/2.205</f>
        <v>45.351473922902493</v>
      </c>
    </row>
    <row r="21" spans="1:5" ht="15" thickBot="1" x14ac:dyDescent="0.35">
      <c r="A21" t="s">
        <v>538</v>
      </c>
      <c r="B21" s="243">
        <v>3</v>
      </c>
      <c r="D21" s="210" t="s">
        <v>539</v>
      </c>
      <c r="E21" s="242">
        <f>(E20/25)*B21</f>
        <v>5.4421768707482991</v>
      </c>
    </row>
    <row r="22" spans="1:5" x14ac:dyDescent="0.3">
      <c r="D22" s="21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BD356-2BC2-4715-890A-BFA6F64F8583}">
  <sheetPr>
    <tabColor theme="0"/>
  </sheetPr>
  <dimension ref="A1:I1051"/>
  <sheetViews>
    <sheetView topLeftCell="A772" workbookViewId="0">
      <selection activeCell="C800" sqref="C800"/>
    </sheetView>
  </sheetViews>
  <sheetFormatPr defaultColWidth="9.109375" defaultRowHeight="13.2" x14ac:dyDescent="0.25"/>
  <cols>
    <col min="1" max="1" width="24.6640625" style="236" customWidth="1"/>
    <col min="2" max="2" width="13.6640625" style="236" customWidth="1"/>
    <col min="3" max="3" width="48.33203125" style="236" customWidth="1"/>
    <col min="4" max="4" width="28" style="236" customWidth="1"/>
    <col min="5" max="6" width="9.109375" style="236"/>
    <col min="7" max="7" width="24.44140625" style="236" customWidth="1"/>
    <col min="8" max="16384" width="9.109375" style="236"/>
  </cols>
  <sheetData>
    <row r="1" spans="1:9" ht="27" thickBot="1" x14ac:dyDescent="0.3">
      <c r="A1" s="247" t="s">
        <v>513</v>
      </c>
      <c r="B1" s="248" t="s">
        <v>542</v>
      </c>
      <c r="C1" s="248" t="s">
        <v>515</v>
      </c>
      <c r="D1" s="249" t="s">
        <v>543</v>
      </c>
      <c r="F1" s="389" t="s">
        <v>544</v>
      </c>
      <c r="G1" s="389"/>
      <c r="H1" s="389"/>
      <c r="I1" s="389"/>
    </row>
    <row r="2" spans="1:9" x14ac:dyDescent="0.25">
      <c r="A2" s="250" t="s">
        <v>545</v>
      </c>
      <c r="B2" s="250"/>
      <c r="C2" s="250" t="s">
        <v>546</v>
      </c>
      <c r="D2" s="251"/>
      <c r="F2" s="389"/>
      <c r="G2" s="389"/>
      <c r="H2" s="389"/>
      <c r="I2" s="389"/>
    </row>
    <row r="3" spans="1:9" x14ac:dyDescent="0.25">
      <c r="A3" s="252" t="s">
        <v>547</v>
      </c>
      <c r="B3" s="252"/>
      <c r="C3" s="252" t="s">
        <v>548</v>
      </c>
      <c r="D3" s="253"/>
      <c r="F3" s="389"/>
      <c r="G3" s="389"/>
      <c r="H3" s="389"/>
      <c r="I3" s="389"/>
    </row>
    <row r="4" spans="1:9" ht="26.4" x14ac:dyDescent="0.25">
      <c r="A4" s="252" t="s">
        <v>549</v>
      </c>
      <c r="B4" s="252"/>
      <c r="C4" s="252" t="s">
        <v>550</v>
      </c>
      <c r="D4" s="253"/>
    </row>
    <row r="5" spans="1:9" ht="26.4" x14ac:dyDescent="0.25">
      <c r="A5" s="252" t="s">
        <v>551</v>
      </c>
      <c r="B5" s="252"/>
      <c r="C5" s="252" t="s">
        <v>552</v>
      </c>
      <c r="D5" s="253"/>
    </row>
    <row r="6" spans="1:9" x14ac:dyDescent="0.25">
      <c r="A6" s="252" t="s">
        <v>553</v>
      </c>
      <c r="B6" s="252"/>
      <c r="C6" s="252" t="s">
        <v>554</v>
      </c>
      <c r="D6" s="253"/>
    </row>
    <row r="7" spans="1:9" x14ac:dyDescent="0.25">
      <c r="A7" s="252" t="s">
        <v>555</v>
      </c>
      <c r="B7" s="252"/>
      <c r="C7" s="252" t="s">
        <v>556</v>
      </c>
      <c r="D7" s="253"/>
    </row>
    <row r="8" spans="1:9" x14ac:dyDescent="0.25">
      <c r="A8" s="252" t="s">
        <v>557</v>
      </c>
      <c r="B8" s="252"/>
      <c r="C8" s="252" t="s">
        <v>558</v>
      </c>
      <c r="D8" s="253"/>
    </row>
    <row r="9" spans="1:9" x14ac:dyDescent="0.25">
      <c r="A9" s="252" t="s">
        <v>559</v>
      </c>
      <c r="B9" s="252"/>
      <c r="C9" s="252" t="s">
        <v>560</v>
      </c>
      <c r="D9" s="253"/>
    </row>
    <row r="10" spans="1:9" ht="26.4" x14ac:dyDescent="0.25">
      <c r="A10" s="252" t="s">
        <v>561</v>
      </c>
      <c r="B10" s="252"/>
      <c r="C10" s="252" t="s">
        <v>562</v>
      </c>
      <c r="D10" s="253"/>
    </row>
    <row r="11" spans="1:9" x14ac:dyDescent="0.25">
      <c r="A11" s="252" t="s">
        <v>563</v>
      </c>
      <c r="B11" s="252"/>
      <c r="C11" s="252" t="s">
        <v>564</v>
      </c>
      <c r="D11" s="253"/>
    </row>
    <row r="12" spans="1:9" x14ac:dyDescent="0.25">
      <c r="A12" s="252" t="s">
        <v>565</v>
      </c>
      <c r="B12" s="252"/>
      <c r="C12" s="252" t="s">
        <v>566</v>
      </c>
      <c r="D12" s="253"/>
    </row>
    <row r="13" spans="1:9" x14ac:dyDescent="0.25">
      <c r="A13" s="252" t="s">
        <v>567</v>
      </c>
      <c r="B13" s="252"/>
      <c r="C13" s="252" t="s">
        <v>566</v>
      </c>
      <c r="D13" s="253"/>
    </row>
    <row r="14" spans="1:9" x14ac:dyDescent="0.25">
      <c r="A14" s="252" t="s">
        <v>568</v>
      </c>
      <c r="B14" s="252"/>
      <c r="C14" s="252" t="s">
        <v>569</v>
      </c>
      <c r="D14" s="253"/>
    </row>
    <row r="15" spans="1:9" x14ac:dyDescent="0.25">
      <c r="A15" s="252" t="s">
        <v>570</v>
      </c>
      <c r="B15" s="252"/>
      <c r="C15" s="252" t="s">
        <v>571</v>
      </c>
      <c r="D15" s="253"/>
    </row>
    <row r="16" spans="1:9" x14ac:dyDescent="0.25">
      <c r="A16" s="252" t="s">
        <v>572</v>
      </c>
      <c r="B16" s="252"/>
      <c r="C16" s="252" t="s">
        <v>573</v>
      </c>
      <c r="D16" s="253"/>
    </row>
    <row r="17" spans="1:4" x14ac:dyDescent="0.25">
      <c r="A17" s="252" t="s">
        <v>574</v>
      </c>
      <c r="B17" s="252"/>
      <c r="C17" s="252" t="s">
        <v>575</v>
      </c>
      <c r="D17" s="253"/>
    </row>
    <row r="18" spans="1:4" ht="26.4" x14ac:dyDescent="0.25">
      <c r="A18" s="252" t="s">
        <v>576</v>
      </c>
      <c r="B18" s="252"/>
      <c r="C18" s="252" t="s">
        <v>577</v>
      </c>
      <c r="D18" s="253"/>
    </row>
    <row r="19" spans="1:4" ht="26.4" x14ac:dyDescent="0.25">
      <c r="A19" s="252" t="s">
        <v>578</v>
      </c>
      <c r="B19" s="252"/>
      <c r="C19" s="252" t="s">
        <v>579</v>
      </c>
      <c r="D19" s="253"/>
    </row>
    <row r="20" spans="1:4" x14ac:dyDescent="0.25">
      <c r="A20" s="252" t="s">
        <v>580</v>
      </c>
      <c r="B20" s="252"/>
      <c r="C20" s="252" t="s">
        <v>581</v>
      </c>
      <c r="D20" s="253"/>
    </row>
    <row r="21" spans="1:4" x14ac:dyDescent="0.25">
      <c r="A21" s="252" t="s">
        <v>582</v>
      </c>
      <c r="B21" s="252"/>
      <c r="C21" s="252" t="s">
        <v>583</v>
      </c>
      <c r="D21" s="253"/>
    </row>
    <row r="22" spans="1:4" x14ac:dyDescent="0.25">
      <c r="A22" s="252" t="s">
        <v>584</v>
      </c>
      <c r="B22" s="252"/>
      <c r="C22" s="252" t="s">
        <v>585</v>
      </c>
      <c r="D22" s="253"/>
    </row>
    <row r="23" spans="1:4" x14ac:dyDescent="0.25">
      <c r="A23" s="252" t="s">
        <v>586</v>
      </c>
      <c r="B23" s="254"/>
      <c r="C23" s="255" t="s">
        <v>587</v>
      </c>
      <c r="D23" s="253"/>
    </row>
    <row r="24" spans="1:4" x14ac:dyDescent="0.25">
      <c r="A24" s="252" t="s">
        <v>588</v>
      </c>
      <c r="B24" s="252"/>
      <c r="C24" s="252" t="s">
        <v>589</v>
      </c>
      <c r="D24" s="253"/>
    </row>
    <row r="25" spans="1:4" ht="26.4" x14ac:dyDescent="0.25">
      <c r="A25" s="252" t="s">
        <v>590</v>
      </c>
      <c r="B25" s="252"/>
      <c r="C25" s="252" t="s">
        <v>591</v>
      </c>
      <c r="D25" s="253"/>
    </row>
    <row r="26" spans="1:4" ht="26.4" x14ac:dyDescent="0.25">
      <c r="A26" s="252" t="s">
        <v>592</v>
      </c>
      <c r="B26" s="252"/>
      <c r="C26" s="252" t="s">
        <v>593</v>
      </c>
      <c r="D26" s="253"/>
    </row>
    <row r="27" spans="1:4" ht="26.4" x14ac:dyDescent="0.25">
      <c r="A27" s="252" t="s">
        <v>594</v>
      </c>
      <c r="B27" s="252"/>
      <c r="C27" s="252" t="s">
        <v>595</v>
      </c>
      <c r="D27" s="253"/>
    </row>
    <row r="28" spans="1:4" x14ac:dyDescent="0.25">
      <c r="A28" s="252" t="s">
        <v>596</v>
      </c>
      <c r="B28" s="252"/>
      <c r="C28" s="252" t="s">
        <v>597</v>
      </c>
      <c r="D28" s="253"/>
    </row>
    <row r="29" spans="1:4" x14ac:dyDescent="0.25">
      <c r="A29" s="255" t="s">
        <v>598</v>
      </c>
      <c r="B29" s="254"/>
      <c r="C29" s="255" t="s">
        <v>599</v>
      </c>
      <c r="D29" s="253"/>
    </row>
    <row r="30" spans="1:4" x14ac:dyDescent="0.25">
      <c r="A30" s="252" t="s">
        <v>600</v>
      </c>
      <c r="B30" s="252"/>
      <c r="C30" s="252" t="s">
        <v>601</v>
      </c>
      <c r="D30" s="253"/>
    </row>
    <row r="31" spans="1:4" ht="26.4" x14ac:dyDescent="0.25">
      <c r="A31" s="252" t="s">
        <v>602</v>
      </c>
      <c r="B31" s="252"/>
      <c r="C31" s="252" t="s">
        <v>603</v>
      </c>
      <c r="D31" s="253"/>
    </row>
    <row r="32" spans="1:4" x14ac:dyDescent="0.25">
      <c r="A32" s="252" t="s">
        <v>604</v>
      </c>
      <c r="B32" s="252"/>
      <c r="C32" s="252" t="s">
        <v>605</v>
      </c>
      <c r="D32" s="253"/>
    </row>
    <row r="33" spans="1:4" x14ac:dyDescent="0.25">
      <c r="A33" s="252" t="s">
        <v>606</v>
      </c>
      <c r="B33" s="252"/>
      <c r="C33" s="252" t="s">
        <v>607</v>
      </c>
      <c r="D33" s="253"/>
    </row>
    <row r="34" spans="1:4" x14ac:dyDescent="0.25">
      <c r="A34" s="255" t="s">
        <v>608</v>
      </c>
      <c r="B34" s="254"/>
      <c r="C34" s="255" t="s">
        <v>609</v>
      </c>
      <c r="D34" s="253"/>
    </row>
    <row r="35" spans="1:4" x14ac:dyDescent="0.25">
      <c r="A35" s="255" t="s">
        <v>610</v>
      </c>
      <c r="B35" s="254"/>
      <c r="C35" s="255" t="s">
        <v>611</v>
      </c>
      <c r="D35" s="253"/>
    </row>
    <row r="36" spans="1:4" x14ac:dyDescent="0.25">
      <c r="A36" s="252" t="s">
        <v>612</v>
      </c>
      <c r="B36" s="252"/>
      <c r="C36" s="252" t="s">
        <v>613</v>
      </c>
      <c r="D36" s="253"/>
    </row>
    <row r="37" spans="1:4" x14ac:dyDescent="0.25">
      <c r="A37" s="252" t="s">
        <v>614</v>
      </c>
      <c r="B37" s="252"/>
      <c r="C37" s="252" t="s">
        <v>615</v>
      </c>
      <c r="D37" s="253"/>
    </row>
    <row r="38" spans="1:4" x14ac:dyDescent="0.25">
      <c r="A38" s="252" t="s">
        <v>616</v>
      </c>
      <c r="B38" s="252"/>
      <c r="C38" s="252" t="s">
        <v>617</v>
      </c>
      <c r="D38" s="253"/>
    </row>
    <row r="39" spans="1:4" x14ac:dyDescent="0.25">
      <c r="A39" s="252" t="s">
        <v>618</v>
      </c>
      <c r="B39" s="252"/>
      <c r="C39" s="252" t="s">
        <v>619</v>
      </c>
      <c r="D39" s="253"/>
    </row>
    <row r="40" spans="1:4" x14ac:dyDescent="0.25">
      <c r="A40" s="252" t="s">
        <v>620</v>
      </c>
      <c r="B40" s="252"/>
      <c r="C40" s="252" t="s">
        <v>621</v>
      </c>
      <c r="D40" s="253"/>
    </row>
    <row r="41" spans="1:4" x14ac:dyDescent="0.25">
      <c r="A41" s="252" t="s">
        <v>622</v>
      </c>
      <c r="B41" s="252"/>
      <c r="C41" s="252" t="s">
        <v>623</v>
      </c>
      <c r="D41" s="253"/>
    </row>
    <row r="42" spans="1:4" x14ac:dyDescent="0.25">
      <c r="A42" s="252" t="s">
        <v>624</v>
      </c>
      <c r="B42" s="252"/>
      <c r="C42" s="252" t="s">
        <v>625</v>
      </c>
      <c r="D42" s="253"/>
    </row>
    <row r="43" spans="1:4" x14ac:dyDescent="0.25">
      <c r="A43" s="252" t="s">
        <v>626</v>
      </c>
      <c r="B43" s="252"/>
      <c r="C43" s="252" t="s">
        <v>627</v>
      </c>
      <c r="D43" s="253"/>
    </row>
    <row r="44" spans="1:4" x14ac:dyDescent="0.25">
      <c r="A44" s="252" t="s">
        <v>628</v>
      </c>
      <c r="B44" s="252"/>
      <c r="C44" s="252" t="s">
        <v>629</v>
      </c>
      <c r="D44" s="253"/>
    </row>
    <row r="45" spans="1:4" ht="26.4" x14ac:dyDescent="0.25">
      <c r="A45" s="252" t="s">
        <v>630</v>
      </c>
      <c r="B45" s="252"/>
      <c r="C45" s="252" t="s">
        <v>631</v>
      </c>
      <c r="D45" s="253"/>
    </row>
    <row r="46" spans="1:4" x14ac:dyDescent="0.25">
      <c r="A46" s="252" t="s">
        <v>632</v>
      </c>
      <c r="B46" s="252"/>
      <c r="C46" s="252" t="s">
        <v>633</v>
      </c>
      <c r="D46" s="253"/>
    </row>
    <row r="47" spans="1:4" x14ac:dyDescent="0.25">
      <c r="A47" s="252" t="s">
        <v>634</v>
      </c>
      <c r="B47" s="252"/>
      <c r="C47" s="252" t="s">
        <v>635</v>
      </c>
      <c r="D47" s="253"/>
    </row>
    <row r="48" spans="1:4" x14ac:dyDescent="0.25">
      <c r="A48" s="252" t="s">
        <v>636</v>
      </c>
      <c r="B48" s="252"/>
      <c r="C48" s="252" t="s">
        <v>637</v>
      </c>
      <c r="D48" s="253"/>
    </row>
    <row r="49" spans="1:4" s="257" customFormat="1" x14ac:dyDescent="0.25">
      <c r="A49" s="256" t="s">
        <v>638</v>
      </c>
      <c r="B49" s="256"/>
      <c r="C49" s="256" t="s">
        <v>639</v>
      </c>
      <c r="D49" s="253"/>
    </row>
    <row r="50" spans="1:4" ht="26.4" x14ac:dyDescent="0.25">
      <c r="A50" s="252" t="s">
        <v>640</v>
      </c>
      <c r="B50" s="252"/>
      <c r="C50" s="252" t="s">
        <v>641</v>
      </c>
      <c r="D50" s="253"/>
    </row>
    <row r="51" spans="1:4" x14ac:dyDescent="0.25">
      <c r="A51" s="252" t="s">
        <v>642</v>
      </c>
      <c r="B51" s="252"/>
      <c r="C51" s="252" t="s">
        <v>643</v>
      </c>
      <c r="D51" s="253"/>
    </row>
    <row r="52" spans="1:4" x14ac:dyDescent="0.25">
      <c r="A52" s="255" t="s">
        <v>644</v>
      </c>
      <c r="B52" s="254"/>
      <c r="C52" s="254" t="s">
        <v>645</v>
      </c>
      <c r="D52" s="253" t="s">
        <v>646</v>
      </c>
    </row>
    <row r="53" spans="1:4" x14ac:dyDescent="0.25">
      <c r="A53" s="252" t="s">
        <v>647</v>
      </c>
      <c r="B53" s="252"/>
      <c r="C53" s="252" t="s">
        <v>648</v>
      </c>
      <c r="D53" s="253" t="s">
        <v>649</v>
      </c>
    </row>
    <row r="54" spans="1:4" x14ac:dyDescent="0.25">
      <c r="A54" s="252" t="s">
        <v>650</v>
      </c>
      <c r="B54" s="252"/>
      <c r="C54" s="252" t="s">
        <v>651</v>
      </c>
      <c r="D54" s="253"/>
    </row>
    <row r="55" spans="1:4" x14ac:dyDescent="0.25">
      <c r="A55" s="252" t="s">
        <v>652</v>
      </c>
      <c r="B55" s="252"/>
      <c r="C55" s="252" t="s">
        <v>653</v>
      </c>
      <c r="D55" s="253"/>
    </row>
    <row r="56" spans="1:4" x14ac:dyDescent="0.25">
      <c r="A56" s="252" t="s">
        <v>654</v>
      </c>
      <c r="B56" s="252"/>
      <c r="C56" s="252" t="s">
        <v>653</v>
      </c>
      <c r="D56" s="253"/>
    </row>
    <row r="57" spans="1:4" x14ac:dyDescent="0.25">
      <c r="A57" s="252" t="s">
        <v>655</v>
      </c>
      <c r="B57" s="252"/>
      <c r="C57" s="252" t="s">
        <v>656</v>
      </c>
      <c r="D57" s="253"/>
    </row>
    <row r="58" spans="1:4" x14ac:dyDescent="0.25">
      <c r="A58" s="252" t="s">
        <v>657</v>
      </c>
      <c r="B58" s="252"/>
      <c r="C58" s="252" t="s">
        <v>658</v>
      </c>
      <c r="D58" s="253"/>
    </row>
    <row r="59" spans="1:4" ht="26.4" x14ac:dyDescent="0.25">
      <c r="A59" s="252" t="s">
        <v>659</v>
      </c>
      <c r="B59" s="252"/>
      <c r="C59" s="252" t="s">
        <v>660</v>
      </c>
      <c r="D59" s="253"/>
    </row>
    <row r="60" spans="1:4" ht="26.4" x14ac:dyDescent="0.25">
      <c r="A60" s="252" t="s">
        <v>661</v>
      </c>
      <c r="B60" s="252"/>
      <c r="C60" s="252" t="s">
        <v>660</v>
      </c>
      <c r="D60" s="253"/>
    </row>
    <row r="61" spans="1:4" x14ac:dyDescent="0.25">
      <c r="A61" s="252" t="s">
        <v>662</v>
      </c>
      <c r="B61" s="252"/>
      <c r="C61" s="252" t="s">
        <v>663</v>
      </c>
      <c r="D61" s="253"/>
    </row>
    <row r="62" spans="1:4" ht="26.4" x14ac:dyDescent="0.25">
      <c r="A62" s="252" t="s">
        <v>664</v>
      </c>
      <c r="B62" s="252"/>
      <c r="C62" s="252" t="s">
        <v>665</v>
      </c>
      <c r="D62" s="253"/>
    </row>
    <row r="63" spans="1:4" x14ac:dyDescent="0.25">
      <c r="A63" s="255" t="s">
        <v>666</v>
      </c>
      <c r="B63" s="254"/>
      <c r="C63" s="255" t="s">
        <v>667</v>
      </c>
      <c r="D63" s="253"/>
    </row>
    <row r="64" spans="1:4" x14ac:dyDescent="0.25">
      <c r="A64" s="252" t="s">
        <v>668</v>
      </c>
      <c r="B64" s="252"/>
      <c r="C64" s="252" t="s">
        <v>669</v>
      </c>
      <c r="D64" s="253"/>
    </row>
    <row r="65" spans="1:4" x14ac:dyDescent="0.25">
      <c r="A65" s="252" t="s">
        <v>670</v>
      </c>
      <c r="B65" s="252"/>
      <c r="C65" s="252" t="s">
        <v>671</v>
      </c>
      <c r="D65" s="253"/>
    </row>
    <row r="66" spans="1:4" x14ac:dyDescent="0.25">
      <c r="A66" s="252" t="s">
        <v>672</v>
      </c>
      <c r="B66" s="252"/>
      <c r="C66" s="252" t="s">
        <v>673</v>
      </c>
      <c r="D66" s="253"/>
    </row>
    <row r="67" spans="1:4" x14ac:dyDescent="0.25">
      <c r="A67" s="252" t="s">
        <v>674</v>
      </c>
      <c r="B67" s="252"/>
      <c r="C67" s="252" t="s">
        <v>675</v>
      </c>
      <c r="D67" s="253"/>
    </row>
    <row r="68" spans="1:4" x14ac:dyDescent="0.25">
      <c r="A68" s="252" t="s">
        <v>676</v>
      </c>
      <c r="B68" s="252"/>
      <c r="C68" s="252" t="s">
        <v>677</v>
      </c>
      <c r="D68" s="253"/>
    </row>
    <row r="69" spans="1:4" x14ac:dyDescent="0.25">
      <c r="A69" s="252" t="s">
        <v>678</v>
      </c>
      <c r="B69" s="252"/>
      <c r="C69" s="252" t="s">
        <v>679</v>
      </c>
      <c r="D69" s="253"/>
    </row>
    <row r="70" spans="1:4" x14ac:dyDescent="0.25">
      <c r="A70" s="252" t="s">
        <v>680</v>
      </c>
      <c r="B70" s="252"/>
      <c r="C70" s="252" t="s">
        <v>681</v>
      </c>
      <c r="D70" s="253"/>
    </row>
    <row r="71" spans="1:4" x14ac:dyDescent="0.25">
      <c r="A71" s="252" t="s">
        <v>682</v>
      </c>
      <c r="B71" s="252"/>
      <c r="C71" s="252" t="s">
        <v>683</v>
      </c>
      <c r="D71" s="253"/>
    </row>
    <row r="72" spans="1:4" x14ac:dyDescent="0.25">
      <c r="A72" s="252" t="s">
        <v>684</v>
      </c>
      <c r="B72" s="252"/>
      <c r="C72" s="252" t="s">
        <v>685</v>
      </c>
      <c r="D72" s="253"/>
    </row>
    <row r="73" spans="1:4" x14ac:dyDescent="0.25">
      <c r="A73" s="252" t="s">
        <v>686</v>
      </c>
      <c r="B73" s="252"/>
      <c r="C73" s="252" t="s">
        <v>687</v>
      </c>
      <c r="D73" s="253" t="s">
        <v>688</v>
      </c>
    </row>
    <row r="74" spans="1:4" x14ac:dyDescent="0.25">
      <c r="A74" s="252" t="s">
        <v>689</v>
      </c>
      <c r="B74" s="252"/>
      <c r="C74" s="252" t="s">
        <v>690</v>
      </c>
      <c r="D74" s="253"/>
    </row>
    <row r="75" spans="1:4" x14ac:dyDescent="0.25">
      <c r="A75" s="252" t="s">
        <v>691</v>
      </c>
      <c r="B75" s="252"/>
      <c r="C75" s="252" t="s">
        <v>692</v>
      </c>
      <c r="D75" s="253"/>
    </row>
    <row r="76" spans="1:4" x14ac:dyDescent="0.25">
      <c r="A76" s="252" t="s">
        <v>693</v>
      </c>
      <c r="B76" s="252"/>
      <c r="C76" s="252" t="s">
        <v>694</v>
      </c>
      <c r="D76" s="253"/>
    </row>
    <row r="77" spans="1:4" x14ac:dyDescent="0.25">
      <c r="A77" s="252" t="s">
        <v>695</v>
      </c>
      <c r="B77" s="252"/>
      <c r="C77" s="252" t="s">
        <v>696</v>
      </c>
      <c r="D77" s="253"/>
    </row>
    <row r="78" spans="1:4" ht="26.4" x14ac:dyDescent="0.25">
      <c r="A78" s="252" t="s">
        <v>697</v>
      </c>
      <c r="B78" s="252"/>
      <c r="C78" s="252" t="s">
        <v>698</v>
      </c>
      <c r="D78" s="253"/>
    </row>
    <row r="79" spans="1:4" x14ac:dyDescent="0.25">
      <c r="A79" s="252" t="s">
        <v>699</v>
      </c>
      <c r="B79" s="252"/>
      <c r="C79" s="252" t="s">
        <v>700</v>
      </c>
      <c r="D79" s="253"/>
    </row>
    <row r="80" spans="1:4" x14ac:dyDescent="0.25">
      <c r="A80" s="252" t="s">
        <v>701</v>
      </c>
      <c r="B80" s="252"/>
      <c r="C80" s="252" t="s">
        <v>702</v>
      </c>
      <c r="D80" s="253"/>
    </row>
    <row r="81" spans="1:4" x14ac:dyDescent="0.25">
      <c r="A81" s="252" t="s">
        <v>703</v>
      </c>
      <c r="B81" s="252"/>
      <c r="C81" s="252" t="s">
        <v>702</v>
      </c>
      <c r="D81" s="253"/>
    </row>
    <row r="82" spans="1:4" x14ac:dyDescent="0.25">
      <c r="A82" s="252" t="s">
        <v>704</v>
      </c>
      <c r="B82" s="252"/>
      <c r="C82" s="252" t="s">
        <v>705</v>
      </c>
      <c r="D82" s="253"/>
    </row>
    <row r="83" spans="1:4" x14ac:dyDescent="0.25">
      <c r="A83" s="252" t="s">
        <v>706</v>
      </c>
      <c r="B83" s="252"/>
      <c r="C83" s="252" t="s">
        <v>707</v>
      </c>
      <c r="D83" s="253"/>
    </row>
    <row r="84" spans="1:4" x14ac:dyDescent="0.25">
      <c r="A84" s="252" t="s">
        <v>708</v>
      </c>
      <c r="B84" s="252"/>
      <c r="C84" s="252" t="s">
        <v>709</v>
      </c>
      <c r="D84" s="253"/>
    </row>
    <row r="85" spans="1:4" x14ac:dyDescent="0.25">
      <c r="A85" s="252" t="s">
        <v>710</v>
      </c>
      <c r="B85" s="252"/>
      <c r="C85" s="252" t="s">
        <v>711</v>
      </c>
      <c r="D85" s="253"/>
    </row>
    <row r="86" spans="1:4" x14ac:dyDescent="0.25">
      <c r="A86" s="252" t="s">
        <v>712</v>
      </c>
      <c r="B86" s="252"/>
      <c r="C86" s="252" t="s">
        <v>713</v>
      </c>
      <c r="D86" s="253" t="s">
        <v>714</v>
      </c>
    </row>
    <row r="87" spans="1:4" x14ac:dyDescent="0.25">
      <c r="A87" s="252" t="s">
        <v>715</v>
      </c>
      <c r="B87" s="252"/>
      <c r="C87" s="252" t="s">
        <v>716</v>
      </c>
      <c r="D87" s="253"/>
    </row>
    <row r="88" spans="1:4" x14ac:dyDescent="0.25">
      <c r="A88" s="252" t="s">
        <v>717</v>
      </c>
      <c r="B88" s="252"/>
      <c r="C88" s="252" t="s">
        <v>718</v>
      </c>
      <c r="D88" s="253"/>
    </row>
    <row r="89" spans="1:4" x14ac:dyDescent="0.25">
      <c r="A89" s="252" t="s">
        <v>719</v>
      </c>
      <c r="B89" s="252"/>
      <c r="C89" s="252" t="s">
        <v>720</v>
      </c>
      <c r="D89" s="253"/>
    </row>
    <row r="90" spans="1:4" x14ac:dyDescent="0.25">
      <c r="A90" s="252" t="s">
        <v>721</v>
      </c>
      <c r="B90" s="252"/>
      <c r="C90" s="252" t="s">
        <v>722</v>
      </c>
      <c r="D90" s="253"/>
    </row>
    <row r="91" spans="1:4" x14ac:dyDescent="0.25">
      <c r="A91" s="252" t="s">
        <v>723</v>
      </c>
      <c r="B91" s="252"/>
      <c r="C91" s="252" t="s">
        <v>724</v>
      </c>
      <c r="D91" s="253"/>
    </row>
    <row r="92" spans="1:4" x14ac:dyDescent="0.25">
      <c r="A92" s="252" t="s">
        <v>725</v>
      </c>
      <c r="B92" s="252"/>
      <c r="C92" s="252" t="s">
        <v>726</v>
      </c>
      <c r="D92" s="253"/>
    </row>
    <row r="93" spans="1:4" x14ac:dyDescent="0.25">
      <c r="A93" s="252" t="s">
        <v>727</v>
      </c>
      <c r="B93" s="252"/>
      <c r="C93" s="252" t="s">
        <v>728</v>
      </c>
      <c r="D93" s="253"/>
    </row>
    <row r="94" spans="1:4" x14ac:dyDescent="0.25">
      <c r="A94" s="252" t="s">
        <v>729</v>
      </c>
      <c r="B94" s="252"/>
      <c r="C94" s="252" t="s">
        <v>730</v>
      </c>
      <c r="D94" s="253"/>
    </row>
    <row r="95" spans="1:4" x14ac:dyDescent="0.25">
      <c r="A95" s="252" t="s">
        <v>731</v>
      </c>
      <c r="B95" s="252"/>
      <c r="C95" s="252" t="s">
        <v>732</v>
      </c>
      <c r="D95" s="253"/>
    </row>
    <row r="96" spans="1:4" x14ac:dyDescent="0.25">
      <c r="A96" s="252" t="s">
        <v>733</v>
      </c>
      <c r="B96" s="252"/>
      <c r="C96" s="252" t="s">
        <v>734</v>
      </c>
      <c r="D96" s="253"/>
    </row>
    <row r="97" spans="1:4" x14ac:dyDescent="0.25">
      <c r="A97" s="252" t="s">
        <v>735</v>
      </c>
      <c r="B97" s="252"/>
      <c r="C97" s="252" t="s">
        <v>736</v>
      </c>
      <c r="D97" s="253"/>
    </row>
    <row r="98" spans="1:4" x14ac:dyDescent="0.25">
      <c r="A98" s="252" t="s">
        <v>737</v>
      </c>
      <c r="B98" s="252"/>
      <c r="C98" s="252" t="s">
        <v>738</v>
      </c>
      <c r="D98" s="253"/>
    </row>
    <row r="99" spans="1:4" x14ac:dyDescent="0.25">
      <c r="A99" s="252" t="s">
        <v>739</v>
      </c>
      <c r="B99" s="252"/>
      <c r="C99" s="252" t="s">
        <v>740</v>
      </c>
      <c r="D99" s="253"/>
    </row>
    <row r="100" spans="1:4" x14ac:dyDescent="0.25">
      <c r="A100" s="252" t="s">
        <v>741</v>
      </c>
      <c r="B100" s="252"/>
      <c r="C100" s="252" t="s">
        <v>742</v>
      </c>
      <c r="D100" s="253" t="s">
        <v>743</v>
      </c>
    </row>
    <row r="101" spans="1:4" x14ac:dyDescent="0.25">
      <c r="A101" s="252" t="s">
        <v>744</v>
      </c>
      <c r="B101" s="252"/>
      <c r="C101" s="252" t="s">
        <v>745</v>
      </c>
      <c r="D101" s="253" t="s">
        <v>746</v>
      </c>
    </row>
    <row r="102" spans="1:4" x14ac:dyDescent="0.25">
      <c r="A102" s="252" t="s">
        <v>747</v>
      </c>
      <c r="B102" s="252"/>
      <c r="C102" s="252" t="s">
        <v>748</v>
      </c>
      <c r="D102" s="253"/>
    </row>
    <row r="103" spans="1:4" x14ac:dyDescent="0.25">
      <c r="A103" s="252" t="s">
        <v>749</v>
      </c>
      <c r="B103" s="252"/>
      <c r="C103" s="252" t="s">
        <v>750</v>
      </c>
      <c r="D103" s="253"/>
    </row>
    <row r="104" spans="1:4" x14ac:dyDescent="0.25">
      <c r="A104" s="252" t="s">
        <v>751</v>
      </c>
      <c r="B104" s="252"/>
      <c r="C104" s="252" t="s">
        <v>752</v>
      </c>
      <c r="D104" s="253" t="s">
        <v>746</v>
      </c>
    </row>
    <row r="105" spans="1:4" x14ac:dyDescent="0.25">
      <c r="A105" s="252" t="s">
        <v>753</v>
      </c>
      <c r="B105" s="252"/>
      <c r="C105" s="252" t="s">
        <v>754</v>
      </c>
      <c r="D105" s="253"/>
    </row>
    <row r="106" spans="1:4" ht="26.4" x14ac:dyDescent="0.25">
      <c r="A106" s="252" t="s">
        <v>755</v>
      </c>
      <c r="B106" s="252"/>
      <c r="C106" s="252" t="s">
        <v>756</v>
      </c>
      <c r="D106" s="253"/>
    </row>
    <row r="107" spans="1:4" x14ac:dyDescent="0.25">
      <c r="A107" s="252" t="s">
        <v>757</v>
      </c>
      <c r="B107" s="252"/>
      <c r="C107" s="252" t="s">
        <v>758</v>
      </c>
      <c r="D107" s="253"/>
    </row>
    <row r="108" spans="1:4" x14ac:dyDescent="0.25">
      <c r="A108" s="252" t="s">
        <v>759</v>
      </c>
      <c r="B108" s="252"/>
      <c r="C108" s="252" t="s">
        <v>760</v>
      </c>
      <c r="D108" s="253"/>
    </row>
    <row r="109" spans="1:4" x14ac:dyDescent="0.25">
      <c r="A109" s="252" t="s">
        <v>761</v>
      </c>
      <c r="B109" s="252"/>
      <c r="C109" s="252" t="s">
        <v>762</v>
      </c>
      <c r="D109" s="253"/>
    </row>
    <row r="110" spans="1:4" x14ac:dyDescent="0.25">
      <c r="A110" s="252" t="s">
        <v>763</v>
      </c>
      <c r="B110" s="252"/>
      <c r="C110" s="252" t="s">
        <v>764</v>
      </c>
      <c r="D110" s="253"/>
    </row>
    <row r="111" spans="1:4" x14ac:dyDescent="0.25">
      <c r="A111" s="255" t="s">
        <v>765</v>
      </c>
      <c r="B111" s="254"/>
      <c r="C111" s="258" t="s">
        <v>766</v>
      </c>
      <c r="D111" s="253"/>
    </row>
    <row r="112" spans="1:4" x14ac:dyDescent="0.25">
      <c r="A112" s="252" t="s">
        <v>767</v>
      </c>
      <c r="B112" s="252"/>
      <c r="C112" s="252" t="s">
        <v>768</v>
      </c>
      <c r="D112" s="253"/>
    </row>
    <row r="113" spans="1:4" x14ac:dyDescent="0.25">
      <c r="A113" s="252" t="s">
        <v>769</v>
      </c>
      <c r="B113" s="252"/>
      <c r="C113" s="252" t="s">
        <v>770</v>
      </c>
      <c r="D113" s="253"/>
    </row>
    <row r="114" spans="1:4" x14ac:dyDescent="0.25">
      <c r="A114" s="252" t="s">
        <v>771</v>
      </c>
      <c r="B114" s="252"/>
      <c r="C114" s="252" t="s">
        <v>772</v>
      </c>
      <c r="D114" s="253"/>
    </row>
    <row r="115" spans="1:4" x14ac:dyDescent="0.25">
      <c r="A115" s="252" t="s">
        <v>773</v>
      </c>
      <c r="B115" s="252"/>
      <c r="C115" s="252" t="s">
        <v>774</v>
      </c>
      <c r="D115" s="253"/>
    </row>
    <row r="116" spans="1:4" x14ac:dyDescent="0.25">
      <c r="A116" s="252" t="s">
        <v>775</v>
      </c>
      <c r="B116" s="252"/>
      <c r="C116" s="252" t="s">
        <v>776</v>
      </c>
      <c r="D116" s="253"/>
    </row>
    <row r="117" spans="1:4" x14ac:dyDescent="0.25">
      <c r="A117" s="255" t="s">
        <v>777</v>
      </c>
      <c r="B117" s="254"/>
      <c r="C117" s="255" t="s">
        <v>778</v>
      </c>
      <c r="D117" s="253"/>
    </row>
    <row r="118" spans="1:4" x14ac:dyDescent="0.25">
      <c r="A118" s="252" t="s">
        <v>779</v>
      </c>
      <c r="B118" s="252"/>
      <c r="C118" s="252" t="s">
        <v>780</v>
      </c>
      <c r="D118" s="253"/>
    </row>
    <row r="119" spans="1:4" x14ac:dyDescent="0.25">
      <c r="A119" s="252" t="s">
        <v>781</v>
      </c>
      <c r="B119" s="252"/>
      <c r="C119" s="252" t="s">
        <v>782</v>
      </c>
      <c r="D119" s="253" t="s">
        <v>714</v>
      </c>
    </row>
    <row r="120" spans="1:4" x14ac:dyDescent="0.25">
      <c r="A120" s="255" t="s">
        <v>783</v>
      </c>
      <c r="B120" s="254"/>
      <c r="C120" s="255" t="s">
        <v>784</v>
      </c>
      <c r="D120" s="253" t="s">
        <v>714</v>
      </c>
    </row>
    <row r="121" spans="1:4" x14ac:dyDescent="0.25">
      <c r="A121" s="255" t="s">
        <v>785</v>
      </c>
      <c r="B121" s="254"/>
      <c r="C121" s="255" t="s">
        <v>786</v>
      </c>
      <c r="D121" s="253" t="s">
        <v>787</v>
      </c>
    </row>
    <row r="122" spans="1:4" ht="26.4" x14ac:dyDescent="0.25">
      <c r="A122" s="252" t="s">
        <v>788</v>
      </c>
      <c r="B122" s="252"/>
      <c r="C122" s="252" t="s">
        <v>789</v>
      </c>
      <c r="D122" s="253"/>
    </row>
    <row r="123" spans="1:4" x14ac:dyDescent="0.25">
      <c r="A123" s="252" t="s">
        <v>790</v>
      </c>
      <c r="B123" s="252"/>
      <c r="C123" s="252" t="s">
        <v>791</v>
      </c>
      <c r="D123" s="253"/>
    </row>
    <row r="124" spans="1:4" ht="26.4" x14ac:dyDescent="0.25">
      <c r="A124" s="252" t="s">
        <v>792</v>
      </c>
      <c r="B124" s="252"/>
      <c r="C124" s="252" t="s">
        <v>793</v>
      </c>
      <c r="D124" s="253"/>
    </row>
    <row r="125" spans="1:4" ht="26.4" x14ac:dyDescent="0.25">
      <c r="A125" s="252" t="s">
        <v>794</v>
      </c>
      <c r="B125" s="252"/>
      <c r="C125" s="252" t="s">
        <v>795</v>
      </c>
      <c r="D125" s="253"/>
    </row>
    <row r="126" spans="1:4" x14ac:dyDescent="0.25">
      <c r="A126" s="252" t="s">
        <v>796</v>
      </c>
      <c r="B126" s="252"/>
      <c r="C126" s="259" t="s">
        <v>797</v>
      </c>
      <c r="D126" s="253"/>
    </row>
    <row r="127" spans="1:4" x14ac:dyDescent="0.25">
      <c r="A127" s="252" t="s">
        <v>798</v>
      </c>
      <c r="B127" s="252"/>
      <c r="C127" s="252" t="s">
        <v>799</v>
      </c>
      <c r="D127" s="253"/>
    </row>
    <row r="128" spans="1:4" x14ac:dyDescent="0.25">
      <c r="A128" s="252" t="s">
        <v>800</v>
      </c>
      <c r="B128" s="252"/>
      <c r="C128" s="252" t="s">
        <v>799</v>
      </c>
      <c r="D128" s="253"/>
    </row>
    <row r="129" spans="1:4" x14ac:dyDescent="0.25">
      <c r="A129" s="252" t="s">
        <v>801</v>
      </c>
      <c r="B129" s="252"/>
      <c r="C129" s="252" t="s">
        <v>802</v>
      </c>
      <c r="D129" s="253"/>
    </row>
    <row r="130" spans="1:4" x14ac:dyDescent="0.25">
      <c r="A130" s="252" t="s">
        <v>803</v>
      </c>
      <c r="B130" s="252"/>
      <c r="C130" s="252" t="s">
        <v>804</v>
      </c>
      <c r="D130" s="253"/>
    </row>
    <row r="131" spans="1:4" x14ac:dyDescent="0.25">
      <c r="A131" s="252" t="s">
        <v>805</v>
      </c>
      <c r="B131" s="252"/>
      <c r="C131" s="252" t="s">
        <v>806</v>
      </c>
      <c r="D131" s="253"/>
    </row>
    <row r="132" spans="1:4" x14ac:dyDescent="0.25">
      <c r="A132" s="252" t="s">
        <v>807</v>
      </c>
      <c r="B132" s="252"/>
      <c r="C132" s="252" t="s">
        <v>808</v>
      </c>
      <c r="D132" s="253"/>
    </row>
    <row r="133" spans="1:4" ht="15" customHeight="1" x14ac:dyDescent="0.25">
      <c r="A133" s="252" t="s">
        <v>809</v>
      </c>
      <c r="B133" s="252"/>
      <c r="C133" s="252" t="s">
        <v>810</v>
      </c>
      <c r="D133" s="253"/>
    </row>
    <row r="134" spans="1:4" x14ac:dyDescent="0.25">
      <c r="A134" s="252" t="s">
        <v>811</v>
      </c>
      <c r="B134" s="252"/>
      <c r="C134" s="252" t="s">
        <v>812</v>
      </c>
      <c r="D134" s="253"/>
    </row>
    <row r="135" spans="1:4" ht="26.4" x14ac:dyDescent="0.25">
      <c r="A135" s="252" t="s">
        <v>813</v>
      </c>
      <c r="B135" s="252"/>
      <c r="C135" s="252" t="s">
        <v>814</v>
      </c>
      <c r="D135" s="253"/>
    </row>
    <row r="136" spans="1:4" x14ac:dyDescent="0.25">
      <c r="A136" s="252" t="s">
        <v>815</v>
      </c>
      <c r="B136" s="252"/>
      <c r="C136" s="252" t="s">
        <v>816</v>
      </c>
      <c r="D136" s="253"/>
    </row>
    <row r="137" spans="1:4" x14ac:dyDescent="0.25">
      <c r="A137" s="252" t="s">
        <v>817</v>
      </c>
      <c r="B137" s="252"/>
      <c r="C137" s="252" t="s">
        <v>764</v>
      </c>
      <c r="D137" s="253"/>
    </row>
    <row r="138" spans="1:4" x14ac:dyDescent="0.25">
      <c r="A138" s="252" t="s">
        <v>818</v>
      </c>
      <c r="B138" s="252"/>
      <c r="C138" s="252" t="s">
        <v>819</v>
      </c>
      <c r="D138" s="253"/>
    </row>
    <row r="139" spans="1:4" x14ac:dyDescent="0.25">
      <c r="A139" s="252" t="s">
        <v>820</v>
      </c>
      <c r="B139" s="252"/>
      <c r="C139" s="252" t="s">
        <v>821</v>
      </c>
      <c r="D139" s="253"/>
    </row>
    <row r="140" spans="1:4" x14ac:dyDescent="0.25">
      <c r="A140" s="252" t="s">
        <v>822</v>
      </c>
      <c r="B140" s="252"/>
      <c r="C140" s="252" t="s">
        <v>823</v>
      </c>
      <c r="D140" s="253"/>
    </row>
    <row r="141" spans="1:4" x14ac:dyDescent="0.25">
      <c r="A141" s="252" t="s">
        <v>824</v>
      </c>
      <c r="B141" s="252"/>
      <c r="C141" s="252" t="s">
        <v>825</v>
      </c>
      <c r="D141" s="253"/>
    </row>
    <row r="142" spans="1:4" x14ac:dyDescent="0.25">
      <c r="A142" s="252" t="s">
        <v>826</v>
      </c>
      <c r="B142" s="252"/>
      <c r="C142" s="252" t="s">
        <v>827</v>
      </c>
      <c r="D142" s="253"/>
    </row>
    <row r="143" spans="1:4" ht="26.4" x14ac:dyDescent="0.25">
      <c r="A143" s="252" t="s">
        <v>828</v>
      </c>
      <c r="B143" s="252"/>
      <c r="C143" s="252" t="s">
        <v>829</v>
      </c>
      <c r="D143" s="253"/>
    </row>
    <row r="144" spans="1:4" x14ac:dyDescent="0.25">
      <c r="A144" s="252" t="s">
        <v>830</v>
      </c>
      <c r="B144" s="252"/>
      <c r="C144" s="252" t="s">
        <v>831</v>
      </c>
      <c r="D144" s="253"/>
    </row>
    <row r="145" spans="1:4" x14ac:dyDescent="0.25">
      <c r="A145" s="252" t="s">
        <v>832</v>
      </c>
      <c r="B145" s="252"/>
      <c r="C145" s="252" t="s">
        <v>833</v>
      </c>
      <c r="D145" s="253"/>
    </row>
    <row r="146" spans="1:4" x14ac:dyDescent="0.25">
      <c r="A146" s="252" t="s">
        <v>834</v>
      </c>
      <c r="B146" s="252"/>
      <c r="C146" s="252" t="s">
        <v>692</v>
      </c>
      <c r="D146" s="253"/>
    </row>
    <row r="147" spans="1:4" x14ac:dyDescent="0.25">
      <c r="A147" s="252" t="s">
        <v>835</v>
      </c>
      <c r="B147" s="252"/>
      <c r="C147" s="252" t="s">
        <v>836</v>
      </c>
      <c r="D147" s="253" t="s">
        <v>837</v>
      </c>
    </row>
    <row r="148" spans="1:4" x14ac:dyDescent="0.25">
      <c r="A148" s="252" t="s">
        <v>838</v>
      </c>
      <c r="B148" s="252"/>
      <c r="C148" s="252" t="s">
        <v>839</v>
      </c>
      <c r="D148" s="253"/>
    </row>
    <row r="149" spans="1:4" x14ac:dyDescent="0.25">
      <c r="A149" s="252" t="s">
        <v>840</v>
      </c>
      <c r="B149" s="252"/>
      <c r="C149" s="252" t="s">
        <v>841</v>
      </c>
      <c r="D149" s="253"/>
    </row>
    <row r="150" spans="1:4" ht="26.4" x14ac:dyDescent="0.25">
      <c r="A150" s="252" t="s">
        <v>842</v>
      </c>
      <c r="B150" s="252"/>
      <c r="C150" s="252" t="s">
        <v>843</v>
      </c>
      <c r="D150" s="253"/>
    </row>
    <row r="151" spans="1:4" x14ac:dyDescent="0.25">
      <c r="A151" s="252" t="s">
        <v>844</v>
      </c>
      <c r="B151" s="252"/>
      <c r="C151" s="252" t="s">
        <v>845</v>
      </c>
      <c r="D151" s="253"/>
    </row>
    <row r="152" spans="1:4" ht="26.4" x14ac:dyDescent="0.25">
      <c r="A152" s="252" t="s">
        <v>846</v>
      </c>
      <c r="B152" s="252"/>
      <c r="C152" s="252" t="s">
        <v>847</v>
      </c>
      <c r="D152" s="253"/>
    </row>
    <row r="153" spans="1:4" ht="26.4" x14ac:dyDescent="0.25">
      <c r="A153" s="252" t="s">
        <v>848</v>
      </c>
      <c r="B153" s="252"/>
      <c r="C153" s="252" t="s">
        <v>849</v>
      </c>
      <c r="D153" s="253"/>
    </row>
    <row r="154" spans="1:4" x14ac:dyDescent="0.25">
      <c r="A154" s="255" t="s">
        <v>850</v>
      </c>
      <c r="B154" s="254"/>
      <c r="C154" s="255" t="s">
        <v>851</v>
      </c>
      <c r="D154" s="253"/>
    </row>
    <row r="155" spans="1:4" x14ac:dyDescent="0.25">
      <c r="A155" s="252" t="s">
        <v>852</v>
      </c>
      <c r="B155" s="252"/>
      <c r="C155" s="252" t="s">
        <v>853</v>
      </c>
      <c r="D155" s="253"/>
    </row>
    <row r="156" spans="1:4" x14ac:dyDescent="0.25">
      <c r="A156" s="255" t="s">
        <v>854</v>
      </c>
      <c r="B156" s="254"/>
      <c r="C156" s="255" t="s">
        <v>855</v>
      </c>
      <c r="D156" s="253"/>
    </row>
    <row r="157" spans="1:4" ht="26.4" x14ac:dyDescent="0.25">
      <c r="A157" s="255" t="s">
        <v>856</v>
      </c>
      <c r="B157" s="254"/>
      <c r="C157" s="255" t="s">
        <v>855</v>
      </c>
      <c r="D157" s="253"/>
    </row>
    <row r="158" spans="1:4" ht="26.4" x14ac:dyDescent="0.25">
      <c r="A158" s="252" t="s">
        <v>857</v>
      </c>
      <c r="B158" s="252"/>
      <c r="C158" s="252" t="s">
        <v>858</v>
      </c>
      <c r="D158" s="253" t="s">
        <v>714</v>
      </c>
    </row>
    <row r="159" spans="1:4" ht="26.4" x14ac:dyDescent="0.25">
      <c r="A159" s="255" t="s">
        <v>859</v>
      </c>
      <c r="B159" s="254"/>
      <c r="C159" s="255" t="s">
        <v>860</v>
      </c>
      <c r="D159" s="253"/>
    </row>
    <row r="160" spans="1:4" x14ac:dyDescent="0.25">
      <c r="A160" s="255" t="s">
        <v>861</v>
      </c>
      <c r="B160" s="254"/>
      <c r="C160" s="255" t="s">
        <v>862</v>
      </c>
      <c r="D160" s="253" t="s">
        <v>714</v>
      </c>
    </row>
    <row r="161" spans="1:4" x14ac:dyDescent="0.25">
      <c r="A161" s="255" t="s">
        <v>863</v>
      </c>
      <c r="B161" s="254"/>
      <c r="C161" s="255" t="s">
        <v>864</v>
      </c>
      <c r="D161" s="253"/>
    </row>
    <row r="162" spans="1:4" x14ac:dyDescent="0.25">
      <c r="A162" s="252" t="s">
        <v>865</v>
      </c>
      <c r="B162" s="252"/>
      <c r="C162" s="252" t="s">
        <v>866</v>
      </c>
      <c r="D162" s="253"/>
    </row>
    <row r="163" spans="1:4" x14ac:dyDescent="0.25">
      <c r="A163" s="252" t="s">
        <v>867</v>
      </c>
      <c r="B163" s="252"/>
      <c r="C163" s="252" t="s">
        <v>868</v>
      </c>
      <c r="D163" s="253"/>
    </row>
    <row r="164" spans="1:4" x14ac:dyDescent="0.25">
      <c r="A164" s="252" t="s">
        <v>869</v>
      </c>
      <c r="B164" s="252"/>
      <c r="C164" s="252" t="s">
        <v>870</v>
      </c>
      <c r="D164" s="253"/>
    </row>
    <row r="165" spans="1:4" x14ac:dyDescent="0.25">
      <c r="A165" s="252" t="s">
        <v>871</v>
      </c>
      <c r="B165" s="252"/>
      <c r="C165" s="252" t="s">
        <v>872</v>
      </c>
      <c r="D165" s="253"/>
    </row>
    <row r="166" spans="1:4" ht="26.4" x14ac:dyDescent="0.25">
      <c r="A166" s="252" t="s">
        <v>873</v>
      </c>
      <c r="B166" s="252"/>
      <c r="C166" s="252" t="s">
        <v>874</v>
      </c>
      <c r="D166" s="253" t="s">
        <v>875</v>
      </c>
    </row>
    <row r="167" spans="1:4" x14ac:dyDescent="0.25">
      <c r="A167" s="252" t="s">
        <v>876</v>
      </c>
      <c r="B167" s="252"/>
      <c r="C167" s="252" t="s">
        <v>877</v>
      </c>
      <c r="D167" s="253"/>
    </row>
    <row r="168" spans="1:4" x14ac:dyDescent="0.25">
      <c r="A168" s="252" t="s">
        <v>878</v>
      </c>
      <c r="B168" s="252"/>
      <c r="C168" s="252" t="s">
        <v>879</v>
      </c>
      <c r="D168" s="253"/>
    </row>
    <row r="169" spans="1:4" ht="26.4" x14ac:dyDescent="0.25">
      <c r="A169" s="255" t="s">
        <v>880</v>
      </c>
      <c r="B169" s="254"/>
      <c r="C169" s="255" t="s">
        <v>881</v>
      </c>
      <c r="D169" s="253"/>
    </row>
    <row r="170" spans="1:4" x14ac:dyDescent="0.25">
      <c r="A170" s="256" t="s">
        <v>882</v>
      </c>
      <c r="B170" s="256"/>
      <c r="C170" s="256" t="s">
        <v>883</v>
      </c>
      <c r="D170" s="253" t="s">
        <v>884</v>
      </c>
    </row>
    <row r="171" spans="1:4" x14ac:dyDescent="0.25">
      <c r="A171" s="252" t="s">
        <v>885</v>
      </c>
      <c r="B171" s="252"/>
      <c r="C171" s="252" t="s">
        <v>886</v>
      </c>
      <c r="D171" s="253"/>
    </row>
    <row r="172" spans="1:4" x14ac:dyDescent="0.25">
      <c r="A172" s="252" t="s">
        <v>887</v>
      </c>
      <c r="B172" s="252"/>
      <c r="C172" s="252" t="s">
        <v>888</v>
      </c>
      <c r="D172" s="253"/>
    </row>
    <row r="173" spans="1:4" x14ac:dyDescent="0.25">
      <c r="A173" s="252" t="s">
        <v>889</v>
      </c>
      <c r="B173" s="252"/>
      <c r="C173" s="252" t="s">
        <v>890</v>
      </c>
      <c r="D173" s="253" t="s">
        <v>891</v>
      </c>
    </row>
    <row r="174" spans="1:4" x14ac:dyDescent="0.25">
      <c r="A174" s="252" t="s">
        <v>892</v>
      </c>
      <c r="B174" s="252"/>
      <c r="C174" s="252" t="s">
        <v>893</v>
      </c>
      <c r="D174" s="253" t="s">
        <v>891</v>
      </c>
    </row>
    <row r="175" spans="1:4" ht="26.4" x14ac:dyDescent="0.25">
      <c r="A175" s="252" t="s">
        <v>894</v>
      </c>
      <c r="B175" s="252"/>
      <c r="C175" s="252" t="s">
        <v>895</v>
      </c>
      <c r="D175" s="253"/>
    </row>
    <row r="176" spans="1:4" x14ac:dyDescent="0.25">
      <c r="A176" s="255" t="s">
        <v>896</v>
      </c>
      <c r="B176" s="254"/>
      <c r="C176" s="255" t="s">
        <v>897</v>
      </c>
      <c r="D176" s="253"/>
    </row>
    <row r="177" spans="1:4" x14ac:dyDescent="0.25">
      <c r="A177" s="252" t="s">
        <v>898</v>
      </c>
      <c r="B177" s="252"/>
      <c r="C177" s="252" t="s">
        <v>899</v>
      </c>
      <c r="D177" s="253"/>
    </row>
    <row r="178" spans="1:4" x14ac:dyDescent="0.25">
      <c r="A178" s="252" t="s">
        <v>900</v>
      </c>
      <c r="B178" s="252"/>
      <c r="C178" s="252" t="s">
        <v>901</v>
      </c>
      <c r="D178" s="253"/>
    </row>
    <row r="179" spans="1:4" x14ac:dyDescent="0.25">
      <c r="A179" s="252" t="s">
        <v>902</v>
      </c>
      <c r="B179" s="252"/>
      <c r="C179" s="252" t="s">
        <v>903</v>
      </c>
      <c r="D179" s="253"/>
    </row>
    <row r="180" spans="1:4" x14ac:dyDescent="0.25">
      <c r="A180" s="252" t="s">
        <v>904</v>
      </c>
      <c r="B180" s="252"/>
      <c r="C180" s="252" t="s">
        <v>905</v>
      </c>
      <c r="D180" s="253" t="s">
        <v>891</v>
      </c>
    </row>
    <row r="181" spans="1:4" x14ac:dyDescent="0.25">
      <c r="A181" s="255" t="s">
        <v>906</v>
      </c>
      <c r="B181" s="254"/>
      <c r="C181" s="255" t="s">
        <v>907</v>
      </c>
      <c r="D181" s="253" t="s">
        <v>891</v>
      </c>
    </row>
    <row r="182" spans="1:4" x14ac:dyDescent="0.25">
      <c r="A182" s="252" t="s">
        <v>908</v>
      </c>
      <c r="B182" s="252"/>
      <c r="C182" s="252" t="s">
        <v>909</v>
      </c>
      <c r="D182" s="253" t="s">
        <v>891</v>
      </c>
    </row>
    <row r="183" spans="1:4" ht="26.4" x14ac:dyDescent="0.25">
      <c r="A183" s="252" t="s">
        <v>910</v>
      </c>
      <c r="B183" s="252"/>
      <c r="C183" s="252" t="s">
        <v>911</v>
      </c>
      <c r="D183" s="253"/>
    </row>
    <row r="184" spans="1:4" ht="26.4" x14ac:dyDescent="0.25">
      <c r="A184" s="252" t="s">
        <v>912</v>
      </c>
      <c r="B184" s="252"/>
      <c r="C184" s="252" t="s">
        <v>913</v>
      </c>
      <c r="D184" s="253"/>
    </row>
    <row r="185" spans="1:4" x14ac:dyDescent="0.25">
      <c r="A185" s="252" t="s">
        <v>914</v>
      </c>
      <c r="B185" s="252"/>
      <c r="C185" s="252" t="s">
        <v>915</v>
      </c>
      <c r="D185" s="253"/>
    </row>
    <row r="186" spans="1:4" x14ac:dyDescent="0.25">
      <c r="A186" s="252" t="s">
        <v>916</v>
      </c>
      <c r="B186" s="252"/>
      <c r="C186" s="252" t="s">
        <v>917</v>
      </c>
      <c r="D186" s="253"/>
    </row>
    <row r="187" spans="1:4" x14ac:dyDescent="0.25">
      <c r="A187" s="252" t="s">
        <v>918</v>
      </c>
      <c r="B187" s="252"/>
      <c r="C187" s="252" t="s">
        <v>919</v>
      </c>
      <c r="D187" s="253"/>
    </row>
    <row r="188" spans="1:4" x14ac:dyDescent="0.25">
      <c r="A188" s="252" t="s">
        <v>920</v>
      </c>
      <c r="B188" s="252"/>
      <c r="C188" s="252" t="s">
        <v>921</v>
      </c>
      <c r="D188" s="253"/>
    </row>
    <row r="189" spans="1:4" x14ac:dyDescent="0.25">
      <c r="A189" s="252" t="s">
        <v>922</v>
      </c>
      <c r="B189" s="252"/>
      <c r="C189" s="252" t="s">
        <v>921</v>
      </c>
      <c r="D189" s="253"/>
    </row>
    <row r="190" spans="1:4" x14ac:dyDescent="0.25">
      <c r="A190" s="252" t="s">
        <v>923</v>
      </c>
      <c r="B190" s="252"/>
      <c r="C190" s="252" t="s">
        <v>924</v>
      </c>
      <c r="D190" s="253"/>
    </row>
    <row r="191" spans="1:4" ht="26.4" x14ac:dyDescent="0.25">
      <c r="A191" s="255" t="s">
        <v>925</v>
      </c>
      <c r="B191" s="254"/>
      <c r="C191" s="255" t="s">
        <v>926</v>
      </c>
      <c r="D191" s="253" t="s">
        <v>714</v>
      </c>
    </row>
    <row r="192" spans="1:4" x14ac:dyDescent="0.25">
      <c r="A192" s="255" t="s">
        <v>927</v>
      </c>
      <c r="B192" s="254"/>
      <c r="C192" s="255" t="s">
        <v>928</v>
      </c>
      <c r="D192" s="253" t="s">
        <v>714</v>
      </c>
    </row>
    <row r="193" spans="1:4" x14ac:dyDescent="0.25">
      <c r="A193" s="255" t="s">
        <v>929</v>
      </c>
      <c r="B193" s="254"/>
      <c r="C193" s="255" t="s">
        <v>930</v>
      </c>
      <c r="D193" s="253" t="s">
        <v>714</v>
      </c>
    </row>
    <row r="194" spans="1:4" x14ac:dyDescent="0.25">
      <c r="A194" s="252" t="s">
        <v>931</v>
      </c>
      <c r="B194" s="252"/>
      <c r="C194" s="252" t="s">
        <v>932</v>
      </c>
      <c r="D194" s="253"/>
    </row>
    <row r="195" spans="1:4" x14ac:dyDescent="0.25">
      <c r="A195" s="252" t="s">
        <v>933</v>
      </c>
      <c r="B195" s="252"/>
      <c r="C195" s="252" t="s">
        <v>934</v>
      </c>
      <c r="D195" s="253"/>
    </row>
    <row r="196" spans="1:4" x14ac:dyDescent="0.25">
      <c r="A196" s="252" t="s">
        <v>935</v>
      </c>
      <c r="B196" s="252"/>
      <c r="C196" s="252" t="s">
        <v>936</v>
      </c>
      <c r="D196" s="253"/>
    </row>
    <row r="197" spans="1:4" x14ac:dyDescent="0.25">
      <c r="A197" s="252" t="s">
        <v>937</v>
      </c>
      <c r="B197" s="252"/>
      <c r="C197" s="252" t="s">
        <v>938</v>
      </c>
      <c r="D197" s="253"/>
    </row>
    <row r="198" spans="1:4" x14ac:dyDescent="0.25">
      <c r="A198" s="252" t="s">
        <v>939</v>
      </c>
      <c r="B198" s="252"/>
      <c r="C198" s="252" t="s">
        <v>940</v>
      </c>
      <c r="D198" s="253"/>
    </row>
    <row r="199" spans="1:4" x14ac:dyDescent="0.25">
      <c r="A199" s="252" t="s">
        <v>941</v>
      </c>
      <c r="B199" s="252"/>
      <c r="C199" s="252" t="s">
        <v>940</v>
      </c>
      <c r="D199" s="253"/>
    </row>
    <row r="200" spans="1:4" x14ac:dyDescent="0.25">
      <c r="A200" s="252" t="s">
        <v>942</v>
      </c>
      <c r="B200" s="252"/>
      <c r="C200" s="252" t="s">
        <v>943</v>
      </c>
      <c r="D200" s="260" t="s">
        <v>944</v>
      </c>
    </row>
    <row r="201" spans="1:4" x14ac:dyDescent="0.25">
      <c r="A201" s="252" t="s">
        <v>945</v>
      </c>
      <c r="B201" s="252"/>
      <c r="C201" s="252" t="s">
        <v>946</v>
      </c>
      <c r="D201" s="253" t="s">
        <v>947</v>
      </c>
    </row>
    <row r="202" spans="1:4" x14ac:dyDescent="0.25">
      <c r="A202" s="252" t="s">
        <v>948</v>
      </c>
      <c r="B202" s="252"/>
      <c r="C202" s="252" t="s">
        <v>949</v>
      </c>
      <c r="D202" s="253" t="s">
        <v>947</v>
      </c>
    </row>
    <row r="203" spans="1:4" x14ac:dyDescent="0.25">
      <c r="A203" s="252" t="s">
        <v>950</v>
      </c>
      <c r="B203" s="252"/>
      <c r="C203" s="252" t="s">
        <v>951</v>
      </c>
      <c r="D203" s="253"/>
    </row>
    <row r="204" spans="1:4" x14ac:dyDescent="0.25">
      <c r="A204" s="252" t="s">
        <v>952</v>
      </c>
      <c r="B204" s="252"/>
      <c r="C204" s="252" t="s">
        <v>951</v>
      </c>
      <c r="D204" s="253"/>
    </row>
    <row r="205" spans="1:4" ht="26.4" x14ac:dyDescent="0.25">
      <c r="A205" s="252" t="s">
        <v>953</v>
      </c>
      <c r="B205" s="252"/>
      <c r="C205" s="252" t="s">
        <v>954</v>
      </c>
      <c r="D205" s="253"/>
    </row>
    <row r="206" spans="1:4" x14ac:dyDescent="0.25">
      <c r="A206" s="252" t="s">
        <v>955</v>
      </c>
      <c r="B206" s="252"/>
      <c r="C206" s="252" t="s">
        <v>956</v>
      </c>
      <c r="D206" s="253"/>
    </row>
    <row r="207" spans="1:4" x14ac:dyDescent="0.25">
      <c r="A207" s="252" t="s">
        <v>957</v>
      </c>
      <c r="B207" s="252"/>
      <c r="C207" s="259" t="s">
        <v>958</v>
      </c>
      <c r="D207" s="253"/>
    </row>
    <row r="208" spans="1:4" x14ac:dyDescent="0.25">
      <c r="A208" s="252" t="s">
        <v>959</v>
      </c>
      <c r="B208" s="252"/>
      <c r="C208" s="259" t="s">
        <v>960</v>
      </c>
      <c r="D208" s="253"/>
    </row>
    <row r="209" spans="1:4" x14ac:dyDescent="0.25">
      <c r="A209" s="252" t="s">
        <v>961</v>
      </c>
      <c r="B209" s="252"/>
      <c r="C209" s="259" t="s">
        <v>831</v>
      </c>
      <c r="D209" s="253"/>
    </row>
    <row r="210" spans="1:4" x14ac:dyDescent="0.25">
      <c r="A210" s="252" t="s">
        <v>962</v>
      </c>
      <c r="B210" s="252"/>
      <c r="C210" s="259" t="s">
        <v>963</v>
      </c>
      <c r="D210" s="253"/>
    </row>
    <row r="211" spans="1:4" x14ac:dyDescent="0.25">
      <c r="A211" s="252" t="s">
        <v>964</v>
      </c>
      <c r="B211" s="252"/>
      <c r="C211" s="259" t="s">
        <v>965</v>
      </c>
      <c r="D211" s="253"/>
    </row>
    <row r="212" spans="1:4" ht="26.4" x14ac:dyDescent="0.25">
      <c r="A212" s="252" t="s">
        <v>966</v>
      </c>
      <c r="B212" s="252"/>
      <c r="C212" s="252" t="s">
        <v>967</v>
      </c>
      <c r="D212" s="253"/>
    </row>
    <row r="213" spans="1:4" x14ac:dyDescent="0.25">
      <c r="A213" s="252" t="s">
        <v>968</v>
      </c>
      <c r="B213" s="252"/>
      <c r="C213" s="252" t="s">
        <v>969</v>
      </c>
      <c r="D213" s="253" t="s">
        <v>891</v>
      </c>
    </row>
    <row r="214" spans="1:4" x14ac:dyDescent="0.25">
      <c r="A214" s="252" t="s">
        <v>970</v>
      </c>
      <c r="B214" s="252"/>
      <c r="C214" s="252" t="s">
        <v>971</v>
      </c>
      <c r="D214" s="253"/>
    </row>
    <row r="215" spans="1:4" x14ac:dyDescent="0.25">
      <c r="A215" s="252" t="s">
        <v>972</v>
      </c>
      <c r="B215" s="252"/>
      <c r="C215" s="252" t="s">
        <v>971</v>
      </c>
      <c r="D215" s="253"/>
    </row>
    <row r="216" spans="1:4" x14ac:dyDescent="0.25">
      <c r="A216" s="252" t="s">
        <v>973</v>
      </c>
      <c r="B216" s="252"/>
      <c r="C216" s="252" t="s">
        <v>974</v>
      </c>
      <c r="D216" s="253"/>
    </row>
    <row r="217" spans="1:4" x14ac:dyDescent="0.25">
      <c r="A217" s="252" t="s">
        <v>975</v>
      </c>
      <c r="B217" s="252"/>
      <c r="C217" s="252" t="s">
        <v>976</v>
      </c>
      <c r="D217" s="253"/>
    </row>
    <row r="218" spans="1:4" x14ac:dyDescent="0.25">
      <c r="A218" s="252" t="s">
        <v>977</v>
      </c>
      <c r="B218" s="252"/>
      <c r="C218" s="252" t="s">
        <v>978</v>
      </c>
      <c r="D218" s="253"/>
    </row>
    <row r="219" spans="1:4" x14ac:dyDescent="0.25">
      <c r="A219" s="252" t="s">
        <v>979</v>
      </c>
      <c r="B219" s="252"/>
      <c r="C219" s="252" t="s">
        <v>980</v>
      </c>
      <c r="D219" s="253"/>
    </row>
    <row r="220" spans="1:4" x14ac:dyDescent="0.25">
      <c r="A220" s="252" t="s">
        <v>981</v>
      </c>
      <c r="B220" s="252"/>
      <c r="C220" s="252" t="s">
        <v>982</v>
      </c>
      <c r="D220" s="253" t="s">
        <v>891</v>
      </c>
    </row>
    <row r="221" spans="1:4" ht="26.4" x14ac:dyDescent="0.25">
      <c r="A221" s="252" t="s">
        <v>983</v>
      </c>
      <c r="B221" s="252"/>
      <c r="C221" s="252" t="s">
        <v>984</v>
      </c>
      <c r="D221" s="253"/>
    </row>
    <row r="222" spans="1:4" x14ac:dyDescent="0.25">
      <c r="A222" s="252" t="s">
        <v>985</v>
      </c>
      <c r="B222" s="252"/>
      <c r="C222" s="252" t="s">
        <v>986</v>
      </c>
      <c r="D222" s="253" t="s">
        <v>891</v>
      </c>
    </row>
    <row r="223" spans="1:4" x14ac:dyDescent="0.25">
      <c r="A223" s="252" t="s">
        <v>987</v>
      </c>
      <c r="B223" s="252"/>
      <c r="C223" s="252" t="s">
        <v>988</v>
      </c>
      <c r="D223" s="253" t="s">
        <v>891</v>
      </c>
    </row>
    <row r="224" spans="1:4" x14ac:dyDescent="0.25">
      <c r="A224" s="252" t="s">
        <v>989</v>
      </c>
      <c r="B224" s="252"/>
      <c r="C224" s="259" t="s">
        <v>990</v>
      </c>
      <c r="D224" s="253" t="s">
        <v>891</v>
      </c>
    </row>
    <row r="225" spans="1:4" x14ac:dyDescent="0.25">
      <c r="A225" s="252" t="s">
        <v>991</v>
      </c>
      <c r="B225" s="252"/>
      <c r="C225" s="252" t="s">
        <v>992</v>
      </c>
      <c r="D225" s="253"/>
    </row>
    <row r="226" spans="1:4" x14ac:dyDescent="0.25">
      <c r="A226" s="255" t="s">
        <v>993</v>
      </c>
      <c r="B226" s="254"/>
      <c r="C226" s="258" t="s">
        <v>860</v>
      </c>
      <c r="D226" s="253"/>
    </row>
    <row r="227" spans="1:4" x14ac:dyDescent="0.25">
      <c r="A227" s="252" t="s">
        <v>994</v>
      </c>
      <c r="B227" s="252"/>
      <c r="C227" s="252" t="s">
        <v>995</v>
      </c>
      <c r="D227" s="253"/>
    </row>
    <row r="228" spans="1:4" x14ac:dyDescent="0.25">
      <c r="A228" s="252" t="s">
        <v>996</v>
      </c>
      <c r="B228" s="252"/>
      <c r="C228" s="252" t="s">
        <v>997</v>
      </c>
      <c r="D228" s="253"/>
    </row>
    <row r="229" spans="1:4" x14ac:dyDescent="0.25">
      <c r="A229" s="252" t="s">
        <v>998</v>
      </c>
      <c r="B229" s="252"/>
      <c r="C229" s="252" t="s">
        <v>999</v>
      </c>
      <c r="D229" s="253"/>
    </row>
    <row r="230" spans="1:4" x14ac:dyDescent="0.25">
      <c r="A230" s="252" t="s">
        <v>1000</v>
      </c>
      <c r="B230" s="252"/>
      <c r="C230" s="252" t="s">
        <v>1001</v>
      </c>
      <c r="D230" s="253"/>
    </row>
    <row r="231" spans="1:4" x14ac:dyDescent="0.25">
      <c r="A231" s="252" t="s">
        <v>1002</v>
      </c>
      <c r="B231" s="252"/>
      <c r="C231" s="259" t="s">
        <v>1003</v>
      </c>
      <c r="D231" s="253"/>
    </row>
    <row r="232" spans="1:4" ht="26.4" x14ac:dyDescent="0.25">
      <c r="A232" s="252" t="s">
        <v>1004</v>
      </c>
      <c r="B232" s="252"/>
      <c r="C232" s="252" t="s">
        <v>1005</v>
      </c>
      <c r="D232" s="253"/>
    </row>
    <row r="233" spans="1:4" ht="26.4" x14ac:dyDescent="0.25">
      <c r="A233" s="255" t="s">
        <v>1006</v>
      </c>
      <c r="B233" s="254"/>
      <c r="C233" s="255" t="s">
        <v>1007</v>
      </c>
      <c r="D233" s="253"/>
    </row>
    <row r="234" spans="1:4" x14ac:dyDescent="0.25">
      <c r="A234" s="255" t="s">
        <v>1008</v>
      </c>
      <c r="B234" s="254"/>
      <c r="C234" s="255" t="s">
        <v>1009</v>
      </c>
      <c r="D234" s="253"/>
    </row>
    <row r="235" spans="1:4" x14ac:dyDescent="0.25">
      <c r="A235" s="252" t="s">
        <v>1010</v>
      </c>
      <c r="B235" s="252"/>
      <c r="C235" s="252" t="s">
        <v>1011</v>
      </c>
      <c r="D235" s="253"/>
    </row>
    <row r="236" spans="1:4" x14ac:dyDescent="0.25">
      <c r="A236" s="252" t="s">
        <v>1012</v>
      </c>
      <c r="B236" s="252"/>
      <c r="C236" s="252" t="s">
        <v>1013</v>
      </c>
      <c r="D236" s="253"/>
    </row>
    <row r="237" spans="1:4" x14ac:dyDescent="0.25">
      <c r="A237" s="252" t="s">
        <v>1014</v>
      </c>
      <c r="B237" s="252"/>
      <c r="C237" s="252" t="s">
        <v>1015</v>
      </c>
      <c r="D237" s="253"/>
    </row>
    <row r="238" spans="1:4" x14ac:dyDescent="0.25">
      <c r="A238" s="252" t="s">
        <v>1016</v>
      </c>
      <c r="B238" s="252"/>
      <c r="C238" s="252" t="s">
        <v>1017</v>
      </c>
      <c r="D238" s="253"/>
    </row>
    <row r="239" spans="1:4" ht="26.4" x14ac:dyDescent="0.25">
      <c r="A239" s="252" t="s">
        <v>1018</v>
      </c>
      <c r="B239" s="252"/>
      <c r="C239" s="252" t="s">
        <v>1019</v>
      </c>
      <c r="D239" s="253"/>
    </row>
    <row r="240" spans="1:4" x14ac:dyDescent="0.25">
      <c r="A240" s="252" t="s">
        <v>1020</v>
      </c>
      <c r="B240" s="252"/>
      <c r="C240" s="252" t="s">
        <v>1021</v>
      </c>
      <c r="D240" s="253" t="s">
        <v>1022</v>
      </c>
    </row>
    <row r="241" spans="1:4" x14ac:dyDescent="0.25">
      <c r="A241" s="252" t="s">
        <v>1023</v>
      </c>
      <c r="B241" s="252"/>
      <c r="C241" s="252" t="s">
        <v>1024</v>
      </c>
      <c r="D241" s="253"/>
    </row>
    <row r="242" spans="1:4" x14ac:dyDescent="0.25">
      <c r="A242" s="252" t="s">
        <v>1025</v>
      </c>
      <c r="B242" s="252"/>
      <c r="C242" s="252" t="s">
        <v>1026</v>
      </c>
      <c r="D242" s="253"/>
    </row>
    <row r="243" spans="1:4" x14ac:dyDescent="0.25">
      <c r="A243" s="252" t="s">
        <v>1027</v>
      </c>
      <c r="B243" s="252"/>
      <c r="C243" s="252" t="s">
        <v>1026</v>
      </c>
      <c r="D243" s="253"/>
    </row>
    <row r="244" spans="1:4" x14ac:dyDescent="0.25">
      <c r="A244" s="252" t="s">
        <v>1028</v>
      </c>
      <c r="B244" s="252"/>
      <c r="C244" s="252" t="s">
        <v>1029</v>
      </c>
      <c r="D244" s="253"/>
    </row>
    <row r="245" spans="1:4" x14ac:dyDescent="0.25">
      <c r="A245" s="252" t="s">
        <v>1030</v>
      </c>
      <c r="B245" s="252"/>
      <c r="C245" s="252" t="s">
        <v>1031</v>
      </c>
      <c r="D245" s="253"/>
    </row>
    <row r="246" spans="1:4" x14ac:dyDescent="0.25">
      <c r="A246" s="252" t="s">
        <v>1032</v>
      </c>
      <c r="B246" s="252"/>
      <c r="C246" s="259" t="s">
        <v>1033</v>
      </c>
      <c r="D246" s="253"/>
    </row>
    <row r="247" spans="1:4" x14ac:dyDescent="0.25">
      <c r="A247" s="252" t="s">
        <v>1034</v>
      </c>
      <c r="B247" s="252"/>
      <c r="C247" s="252" t="s">
        <v>754</v>
      </c>
      <c r="D247" s="253" t="s">
        <v>891</v>
      </c>
    </row>
    <row r="248" spans="1:4" x14ac:dyDescent="0.25">
      <c r="A248" s="252" t="s">
        <v>1035</v>
      </c>
      <c r="B248" s="252"/>
      <c r="C248" s="252" t="s">
        <v>1036</v>
      </c>
      <c r="D248" s="253"/>
    </row>
    <row r="249" spans="1:4" ht="26.4" x14ac:dyDescent="0.25">
      <c r="A249" s="252" t="s">
        <v>1037</v>
      </c>
      <c r="B249" s="252"/>
      <c r="C249" s="252" t="s">
        <v>1038</v>
      </c>
      <c r="D249" s="253"/>
    </row>
    <row r="250" spans="1:4" x14ac:dyDescent="0.25">
      <c r="A250" s="252" t="s">
        <v>1039</v>
      </c>
      <c r="B250" s="252"/>
      <c r="C250" s="252" t="s">
        <v>1040</v>
      </c>
      <c r="D250" s="253"/>
    </row>
    <row r="251" spans="1:4" x14ac:dyDescent="0.25">
      <c r="A251" s="255" t="s">
        <v>1041</v>
      </c>
      <c r="B251" s="254"/>
      <c r="C251" s="255" t="s">
        <v>1042</v>
      </c>
      <c r="D251" s="253"/>
    </row>
    <row r="252" spans="1:4" x14ac:dyDescent="0.25">
      <c r="A252" s="252" t="s">
        <v>1043</v>
      </c>
      <c r="B252" s="252"/>
      <c r="C252" s="252" t="s">
        <v>1040</v>
      </c>
      <c r="D252" s="253"/>
    </row>
    <row r="253" spans="1:4" x14ac:dyDescent="0.25">
      <c r="A253" s="252" t="s">
        <v>1044</v>
      </c>
      <c r="B253" s="252"/>
      <c r="C253" s="252" t="s">
        <v>1045</v>
      </c>
      <c r="D253" s="253"/>
    </row>
    <row r="254" spans="1:4" x14ac:dyDescent="0.25">
      <c r="A254" s="252" t="s">
        <v>1046</v>
      </c>
      <c r="B254" s="252"/>
      <c r="C254" s="252" t="s">
        <v>1047</v>
      </c>
      <c r="D254" s="253"/>
    </row>
    <row r="255" spans="1:4" x14ac:dyDescent="0.25">
      <c r="A255" s="255" t="s">
        <v>1048</v>
      </c>
      <c r="B255" s="254"/>
      <c r="C255" s="255" t="s">
        <v>1049</v>
      </c>
      <c r="D255" s="253"/>
    </row>
    <row r="256" spans="1:4" ht="26.4" x14ac:dyDescent="0.25">
      <c r="A256" s="255" t="s">
        <v>1050</v>
      </c>
      <c r="B256" s="254"/>
      <c r="C256" s="255" t="s">
        <v>1051</v>
      </c>
      <c r="D256" s="253"/>
    </row>
    <row r="257" spans="1:4" ht="26.4" x14ac:dyDescent="0.25">
      <c r="A257" s="255" t="s">
        <v>1052</v>
      </c>
      <c r="B257" s="254"/>
      <c r="C257" s="255" t="s">
        <v>1051</v>
      </c>
      <c r="D257" s="253"/>
    </row>
    <row r="258" spans="1:4" ht="26.4" x14ac:dyDescent="0.25">
      <c r="A258" s="255" t="s">
        <v>1053</v>
      </c>
      <c r="B258" s="254"/>
      <c r="C258" s="255" t="s">
        <v>1051</v>
      </c>
      <c r="D258" s="253"/>
    </row>
    <row r="259" spans="1:4" ht="26.4" x14ac:dyDescent="0.25">
      <c r="A259" s="255" t="s">
        <v>1054</v>
      </c>
      <c r="B259" s="254"/>
      <c r="C259" s="255" t="s">
        <v>1051</v>
      </c>
      <c r="D259" s="253"/>
    </row>
    <row r="260" spans="1:4" x14ac:dyDescent="0.25">
      <c r="A260" s="252" t="s">
        <v>1055</v>
      </c>
      <c r="B260" s="252"/>
      <c r="C260" s="252" t="s">
        <v>1056</v>
      </c>
      <c r="D260" s="253"/>
    </row>
    <row r="261" spans="1:4" ht="26.4" x14ac:dyDescent="0.25">
      <c r="A261" s="252" t="s">
        <v>1057</v>
      </c>
      <c r="B261" s="252"/>
      <c r="C261" s="252" t="s">
        <v>1058</v>
      </c>
      <c r="D261" s="253"/>
    </row>
    <row r="262" spans="1:4" x14ac:dyDescent="0.25">
      <c r="A262" s="255" t="s">
        <v>1059</v>
      </c>
      <c r="B262" s="254"/>
      <c r="C262" s="255" t="s">
        <v>1060</v>
      </c>
      <c r="D262" s="253"/>
    </row>
    <row r="263" spans="1:4" x14ac:dyDescent="0.25">
      <c r="A263" s="252" t="s">
        <v>1061</v>
      </c>
      <c r="B263" s="252"/>
      <c r="C263" s="252" t="s">
        <v>1062</v>
      </c>
      <c r="D263" s="253" t="s">
        <v>714</v>
      </c>
    </row>
    <row r="264" spans="1:4" x14ac:dyDescent="0.25">
      <c r="A264" s="252" t="s">
        <v>1063</v>
      </c>
      <c r="B264" s="252"/>
      <c r="C264" s="252" t="s">
        <v>1064</v>
      </c>
      <c r="D264" s="253" t="s">
        <v>714</v>
      </c>
    </row>
    <row r="265" spans="1:4" ht="26.4" x14ac:dyDescent="0.25">
      <c r="A265" s="252" t="s">
        <v>1065</v>
      </c>
      <c r="B265" s="252"/>
      <c r="C265" s="252" t="s">
        <v>1066</v>
      </c>
      <c r="D265" s="253"/>
    </row>
    <row r="266" spans="1:4" x14ac:dyDescent="0.25">
      <c r="A266" s="252" t="s">
        <v>1067</v>
      </c>
      <c r="B266" s="252"/>
      <c r="C266" s="252" t="s">
        <v>1068</v>
      </c>
      <c r="D266" s="253"/>
    </row>
    <row r="267" spans="1:4" x14ac:dyDescent="0.25">
      <c r="A267" s="252" t="s">
        <v>1069</v>
      </c>
      <c r="B267" s="252"/>
      <c r="C267" s="252" t="s">
        <v>1068</v>
      </c>
      <c r="D267" s="253"/>
    </row>
    <row r="268" spans="1:4" x14ac:dyDescent="0.25">
      <c r="A268" s="252" t="s">
        <v>1070</v>
      </c>
      <c r="B268" s="252"/>
      <c r="C268" s="252" t="s">
        <v>1071</v>
      </c>
      <c r="D268" s="253" t="s">
        <v>1072</v>
      </c>
    </row>
    <row r="269" spans="1:4" ht="26.4" x14ac:dyDescent="0.25">
      <c r="A269" s="252" t="s">
        <v>1073</v>
      </c>
      <c r="B269" s="252"/>
      <c r="C269" s="252" t="s">
        <v>1074</v>
      </c>
      <c r="D269" s="253"/>
    </row>
    <row r="270" spans="1:4" x14ac:dyDescent="0.25">
      <c r="A270" s="252" t="s">
        <v>1075</v>
      </c>
      <c r="B270" s="252"/>
      <c r="C270" s="252" t="s">
        <v>1076</v>
      </c>
      <c r="D270" s="253"/>
    </row>
    <row r="271" spans="1:4" x14ac:dyDescent="0.25">
      <c r="A271" s="252" t="s">
        <v>1077</v>
      </c>
      <c r="B271" s="252"/>
      <c r="C271" s="252" t="s">
        <v>1078</v>
      </c>
      <c r="D271" s="253"/>
    </row>
    <row r="272" spans="1:4" x14ac:dyDescent="0.25">
      <c r="A272" s="252" t="s">
        <v>1079</v>
      </c>
      <c r="B272" s="252"/>
      <c r="C272" s="252" t="s">
        <v>1080</v>
      </c>
      <c r="D272" s="253"/>
    </row>
    <row r="273" spans="1:4" x14ac:dyDescent="0.25">
      <c r="A273" s="255" t="s">
        <v>1081</v>
      </c>
      <c r="B273" s="254"/>
      <c r="C273" s="255" t="s">
        <v>1076</v>
      </c>
      <c r="D273" s="253"/>
    </row>
    <row r="274" spans="1:4" x14ac:dyDescent="0.25">
      <c r="A274" s="252" t="s">
        <v>1082</v>
      </c>
      <c r="B274" s="252"/>
      <c r="C274" s="252" t="s">
        <v>1076</v>
      </c>
      <c r="D274" s="253"/>
    </row>
    <row r="275" spans="1:4" x14ac:dyDescent="0.25">
      <c r="A275" s="252" t="s">
        <v>1083</v>
      </c>
      <c r="B275" s="252"/>
      <c r="C275" s="252" t="s">
        <v>1084</v>
      </c>
      <c r="D275" s="253"/>
    </row>
    <row r="276" spans="1:4" x14ac:dyDescent="0.25">
      <c r="A276" s="252" t="s">
        <v>1085</v>
      </c>
      <c r="B276" s="252"/>
      <c r="C276" s="252" t="s">
        <v>1086</v>
      </c>
      <c r="D276" s="253"/>
    </row>
    <row r="277" spans="1:4" x14ac:dyDescent="0.25">
      <c r="A277" s="252" t="s">
        <v>1087</v>
      </c>
      <c r="B277" s="252"/>
      <c r="C277" s="252" t="s">
        <v>1088</v>
      </c>
      <c r="D277" s="253" t="s">
        <v>1089</v>
      </c>
    </row>
    <row r="278" spans="1:4" x14ac:dyDescent="0.25">
      <c r="A278" s="255" t="s">
        <v>1090</v>
      </c>
      <c r="B278" s="254"/>
      <c r="C278" s="255" t="s">
        <v>1091</v>
      </c>
      <c r="D278" s="253" t="s">
        <v>947</v>
      </c>
    </row>
    <row r="279" spans="1:4" x14ac:dyDescent="0.25">
      <c r="A279" s="252" t="s">
        <v>1092</v>
      </c>
      <c r="B279" s="252"/>
      <c r="C279" s="252" t="s">
        <v>1093</v>
      </c>
      <c r="D279" s="260" t="s">
        <v>1094</v>
      </c>
    </row>
    <row r="280" spans="1:4" x14ac:dyDescent="0.25">
      <c r="A280" s="255" t="s">
        <v>1095</v>
      </c>
      <c r="B280" s="254"/>
      <c r="C280" s="255" t="s">
        <v>1096</v>
      </c>
      <c r="D280" s="253"/>
    </row>
    <row r="281" spans="1:4" x14ac:dyDescent="0.25">
      <c r="A281" s="252" t="s">
        <v>1097</v>
      </c>
      <c r="B281" s="252"/>
      <c r="C281" s="252" t="s">
        <v>1098</v>
      </c>
      <c r="D281" s="253"/>
    </row>
    <row r="282" spans="1:4" x14ac:dyDescent="0.25">
      <c r="A282" s="252" t="s">
        <v>1099</v>
      </c>
      <c r="B282" s="252"/>
      <c r="C282" s="252" t="s">
        <v>1100</v>
      </c>
      <c r="D282" s="253"/>
    </row>
    <row r="283" spans="1:4" x14ac:dyDescent="0.25">
      <c r="A283" s="252" t="s">
        <v>1101</v>
      </c>
      <c r="B283" s="252"/>
      <c r="C283" s="252" t="s">
        <v>1102</v>
      </c>
      <c r="D283" s="253"/>
    </row>
    <row r="284" spans="1:4" x14ac:dyDescent="0.25">
      <c r="A284" s="252" t="s">
        <v>1103</v>
      </c>
      <c r="B284" s="252"/>
      <c r="C284" s="252" t="s">
        <v>1104</v>
      </c>
      <c r="D284" s="253"/>
    </row>
    <row r="285" spans="1:4" x14ac:dyDescent="0.25">
      <c r="A285" s="255" t="s">
        <v>1105</v>
      </c>
      <c r="B285" s="254"/>
      <c r="C285" s="255" t="s">
        <v>1106</v>
      </c>
      <c r="D285" s="253" t="s">
        <v>688</v>
      </c>
    </row>
    <row r="286" spans="1:4" x14ac:dyDescent="0.25">
      <c r="A286" s="252" t="s">
        <v>1107</v>
      </c>
      <c r="B286" s="252"/>
      <c r="C286" s="252" t="s">
        <v>1108</v>
      </c>
      <c r="D286" s="253"/>
    </row>
    <row r="287" spans="1:4" x14ac:dyDescent="0.25">
      <c r="A287" s="252" t="s">
        <v>1109</v>
      </c>
      <c r="B287" s="252"/>
      <c r="C287" s="252" t="s">
        <v>1110</v>
      </c>
      <c r="D287" s="253"/>
    </row>
    <row r="288" spans="1:4" x14ac:dyDescent="0.25">
      <c r="A288" s="252" t="s">
        <v>1111</v>
      </c>
      <c r="B288" s="252"/>
      <c r="C288" s="252" t="s">
        <v>1112</v>
      </c>
      <c r="D288" s="253"/>
    </row>
    <row r="289" spans="1:4" x14ac:dyDescent="0.25">
      <c r="A289" s="252" t="s">
        <v>1113</v>
      </c>
      <c r="B289" s="252"/>
      <c r="C289" s="252" t="s">
        <v>1114</v>
      </c>
      <c r="D289" s="253"/>
    </row>
    <row r="290" spans="1:4" x14ac:dyDescent="0.25">
      <c r="A290" s="252" t="s">
        <v>1115</v>
      </c>
      <c r="B290" s="252"/>
      <c r="C290" s="252" t="s">
        <v>825</v>
      </c>
      <c r="D290" s="253"/>
    </row>
    <row r="291" spans="1:4" x14ac:dyDescent="0.25">
      <c r="A291" s="252" t="s">
        <v>1116</v>
      </c>
      <c r="B291" s="252"/>
      <c r="C291" s="252" t="s">
        <v>1117</v>
      </c>
      <c r="D291" s="253"/>
    </row>
    <row r="292" spans="1:4" x14ac:dyDescent="0.25">
      <c r="A292" s="252" t="s">
        <v>1118</v>
      </c>
      <c r="B292" s="252"/>
      <c r="C292" s="252" t="s">
        <v>1119</v>
      </c>
      <c r="D292" s="253"/>
    </row>
    <row r="293" spans="1:4" x14ac:dyDescent="0.25">
      <c r="A293" s="252" t="s">
        <v>1120</v>
      </c>
      <c r="B293" s="252"/>
      <c r="C293" s="252" t="s">
        <v>1121</v>
      </c>
      <c r="D293" s="253"/>
    </row>
    <row r="294" spans="1:4" x14ac:dyDescent="0.25">
      <c r="A294" s="252" t="s">
        <v>1122</v>
      </c>
      <c r="B294" s="252"/>
      <c r="C294" s="252" t="s">
        <v>1123</v>
      </c>
      <c r="D294" s="253"/>
    </row>
    <row r="295" spans="1:4" ht="26.4" x14ac:dyDescent="0.25">
      <c r="A295" s="252" t="s">
        <v>1124</v>
      </c>
      <c r="B295" s="252"/>
      <c r="C295" s="252" t="s">
        <v>1125</v>
      </c>
      <c r="D295" s="253"/>
    </row>
    <row r="296" spans="1:4" x14ac:dyDescent="0.25">
      <c r="A296" s="252" t="s">
        <v>1126</v>
      </c>
      <c r="B296" s="252"/>
      <c r="C296" s="252" t="s">
        <v>1127</v>
      </c>
      <c r="D296" s="253"/>
    </row>
    <row r="297" spans="1:4" x14ac:dyDescent="0.25">
      <c r="A297" s="252" t="s">
        <v>1128</v>
      </c>
      <c r="B297" s="252"/>
      <c r="C297" s="252" t="s">
        <v>1129</v>
      </c>
      <c r="D297" s="253"/>
    </row>
    <row r="298" spans="1:4" x14ac:dyDescent="0.25">
      <c r="A298" s="252" t="s">
        <v>1130</v>
      </c>
      <c r="B298" s="252"/>
      <c r="C298" s="252" t="s">
        <v>965</v>
      </c>
      <c r="D298" s="253"/>
    </row>
    <row r="299" spans="1:4" x14ac:dyDescent="0.25">
      <c r="A299" s="252" t="s">
        <v>1131</v>
      </c>
      <c r="B299" s="252"/>
      <c r="C299" s="261" t="s">
        <v>1132</v>
      </c>
      <c r="D299" s="253"/>
    </row>
    <row r="300" spans="1:4" x14ac:dyDescent="0.25">
      <c r="A300" s="252" t="s">
        <v>1133</v>
      </c>
      <c r="B300" s="252"/>
      <c r="C300" s="252" t="s">
        <v>1134</v>
      </c>
      <c r="D300" s="253"/>
    </row>
    <row r="301" spans="1:4" x14ac:dyDescent="0.25">
      <c r="A301" s="252" t="s">
        <v>1135</v>
      </c>
      <c r="B301" s="252"/>
      <c r="C301" s="252" t="s">
        <v>1136</v>
      </c>
      <c r="D301" s="253" t="s">
        <v>1072</v>
      </c>
    </row>
    <row r="302" spans="1:4" x14ac:dyDescent="0.25">
      <c r="A302" s="252" t="s">
        <v>1137</v>
      </c>
      <c r="B302" s="252"/>
      <c r="C302" s="252" t="s">
        <v>1138</v>
      </c>
      <c r="D302" s="253"/>
    </row>
    <row r="303" spans="1:4" x14ac:dyDescent="0.25">
      <c r="A303" s="255" t="s">
        <v>1139</v>
      </c>
      <c r="B303" s="254"/>
      <c r="C303" s="255" t="s">
        <v>1140</v>
      </c>
      <c r="D303" s="253"/>
    </row>
    <row r="304" spans="1:4" x14ac:dyDescent="0.25">
      <c r="A304" s="252" t="s">
        <v>1141</v>
      </c>
      <c r="B304" s="252"/>
      <c r="C304" s="252" t="s">
        <v>1142</v>
      </c>
      <c r="D304" s="253"/>
    </row>
    <row r="305" spans="1:4" x14ac:dyDescent="0.25">
      <c r="A305" s="252" t="s">
        <v>1143</v>
      </c>
      <c r="B305" s="252"/>
      <c r="C305" s="252" t="s">
        <v>653</v>
      </c>
      <c r="D305" s="253"/>
    </row>
    <row r="306" spans="1:4" x14ac:dyDescent="0.25">
      <c r="A306" s="252" t="s">
        <v>1144</v>
      </c>
      <c r="B306" s="252"/>
      <c r="C306" s="252" t="s">
        <v>1145</v>
      </c>
      <c r="D306" s="253" t="s">
        <v>947</v>
      </c>
    </row>
    <row r="307" spans="1:4" x14ac:dyDescent="0.25">
      <c r="A307" s="252" t="s">
        <v>1146</v>
      </c>
      <c r="B307" s="252"/>
      <c r="C307" s="259" t="s">
        <v>1147</v>
      </c>
      <c r="D307" s="253"/>
    </row>
    <row r="308" spans="1:4" x14ac:dyDescent="0.25">
      <c r="A308" s="252" t="s">
        <v>1148</v>
      </c>
      <c r="B308" s="252"/>
      <c r="C308" s="252" t="s">
        <v>1149</v>
      </c>
      <c r="D308" s="253"/>
    </row>
    <row r="309" spans="1:4" x14ac:dyDescent="0.25">
      <c r="A309" s="252" t="s">
        <v>1150</v>
      </c>
      <c r="B309" s="252"/>
      <c r="C309" s="252" t="s">
        <v>1151</v>
      </c>
      <c r="D309" s="253"/>
    </row>
    <row r="310" spans="1:4" x14ac:dyDescent="0.25">
      <c r="A310" s="252" t="s">
        <v>1152</v>
      </c>
      <c r="B310" s="252"/>
      <c r="C310" s="252" t="s">
        <v>1153</v>
      </c>
      <c r="D310" s="253"/>
    </row>
    <row r="311" spans="1:4" x14ac:dyDescent="0.25">
      <c r="A311" s="252" t="s">
        <v>1154</v>
      </c>
      <c r="B311" s="252"/>
      <c r="C311" s="252" t="s">
        <v>1155</v>
      </c>
      <c r="D311" s="253"/>
    </row>
    <row r="312" spans="1:4" ht="26.4" x14ac:dyDescent="0.25">
      <c r="A312" s="255" t="s">
        <v>1156</v>
      </c>
      <c r="B312" s="254"/>
      <c r="C312" s="255" t="s">
        <v>1157</v>
      </c>
      <c r="D312" s="253" t="s">
        <v>891</v>
      </c>
    </row>
    <row r="313" spans="1:4" x14ac:dyDescent="0.25">
      <c r="A313" s="252" t="s">
        <v>1158</v>
      </c>
      <c r="B313" s="252"/>
      <c r="C313" s="252" t="s">
        <v>1159</v>
      </c>
      <c r="D313" s="253"/>
    </row>
    <row r="314" spans="1:4" x14ac:dyDescent="0.25">
      <c r="A314" s="252" t="s">
        <v>1160</v>
      </c>
      <c r="B314" s="252"/>
      <c r="C314" s="252" t="s">
        <v>1142</v>
      </c>
      <c r="D314" s="253"/>
    </row>
    <row r="315" spans="1:4" x14ac:dyDescent="0.25">
      <c r="A315" s="252" t="s">
        <v>1161</v>
      </c>
      <c r="B315" s="252"/>
      <c r="C315" s="252" t="s">
        <v>1142</v>
      </c>
      <c r="D315" s="253"/>
    </row>
    <row r="316" spans="1:4" x14ac:dyDescent="0.25">
      <c r="A316" s="252" t="s">
        <v>1162</v>
      </c>
      <c r="B316" s="252"/>
      <c r="C316" s="252" t="s">
        <v>653</v>
      </c>
      <c r="D316" s="253"/>
    </row>
    <row r="317" spans="1:4" x14ac:dyDescent="0.25">
      <c r="A317" s="252" t="s">
        <v>1163</v>
      </c>
      <c r="B317" s="252"/>
      <c r="C317" s="252" t="s">
        <v>669</v>
      </c>
      <c r="D317" s="253"/>
    </row>
    <row r="318" spans="1:4" x14ac:dyDescent="0.25">
      <c r="A318" s="252" t="s">
        <v>1164</v>
      </c>
      <c r="B318" s="252"/>
      <c r="C318" s="252" t="s">
        <v>1119</v>
      </c>
      <c r="D318" s="253"/>
    </row>
    <row r="319" spans="1:4" x14ac:dyDescent="0.25">
      <c r="A319" s="252" t="s">
        <v>1165</v>
      </c>
      <c r="B319" s="252"/>
      <c r="C319" s="252" t="s">
        <v>1166</v>
      </c>
      <c r="D319" s="253"/>
    </row>
    <row r="320" spans="1:4" x14ac:dyDescent="0.25">
      <c r="A320" s="252" t="s">
        <v>1167</v>
      </c>
      <c r="B320" s="252"/>
      <c r="C320" s="252" t="s">
        <v>1168</v>
      </c>
      <c r="D320" s="253" t="s">
        <v>891</v>
      </c>
    </row>
    <row r="321" spans="1:4" x14ac:dyDescent="0.25">
      <c r="A321" s="252" t="s">
        <v>1169</v>
      </c>
      <c r="B321" s="252"/>
      <c r="C321" s="252" t="s">
        <v>1170</v>
      </c>
      <c r="D321" s="253"/>
    </row>
    <row r="322" spans="1:4" x14ac:dyDescent="0.25">
      <c r="A322" s="252" t="s">
        <v>1171</v>
      </c>
      <c r="B322" s="252"/>
      <c r="C322" s="252" t="s">
        <v>1172</v>
      </c>
      <c r="D322" s="253"/>
    </row>
    <row r="323" spans="1:4" x14ac:dyDescent="0.25">
      <c r="A323" s="252" t="s">
        <v>1173</v>
      </c>
      <c r="B323" s="252"/>
      <c r="C323" s="252" t="s">
        <v>1174</v>
      </c>
      <c r="D323" s="253"/>
    </row>
    <row r="324" spans="1:4" x14ac:dyDescent="0.25">
      <c r="A324" s="252" t="s">
        <v>1175</v>
      </c>
      <c r="B324" s="252"/>
      <c r="C324" s="252" t="s">
        <v>1176</v>
      </c>
      <c r="D324" s="253"/>
    </row>
    <row r="325" spans="1:4" x14ac:dyDescent="0.25">
      <c r="A325" s="252" t="s">
        <v>1177</v>
      </c>
      <c r="B325" s="252"/>
      <c r="C325" s="252" t="s">
        <v>1178</v>
      </c>
      <c r="D325" s="253"/>
    </row>
    <row r="326" spans="1:4" x14ac:dyDescent="0.25">
      <c r="A326" s="252" t="s">
        <v>1179</v>
      </c>
      <c r="B326" s="252"/>
      <c r="C326" s="252" t="s">
        <v>1180</v>
      </c>
      <c r="D326" s="253"/>
    </row>
    <row r="327" spans="1:4" x14ac:dyDescent="0.25">
      <c r="A327" s="252" t="s">
        <v>1181</v>
      </c>
      <c r="B327" s="252"/>
      <c r="C327" s="252" t="s">
        <v>1182</v>
      </c>
      <c r="D327" s="253"/>
    </row>
    <row r="328" spans="1:4" x14ac:dyDescent="0.25">
      <c r="A328" s="252" t="s">
        <v>1183</v>
      </c>
      <c r="B328" s="252"/>
      <c r="C328" s="252" t="s">
        <v>1184</v>
      </c>
      <c r="D328" s="253"/>
    </row>
    <row r="329" spans="1:4" x14ac:dyDescent="0.25">
      <c r="A329" s="252" t="s">
        <v>1185</v>
      </c>
      <c r="B329" s="252"/>
      <c r="C329" s="252" t="s">
        <v>1186</v>
      </c>
      <c r="D329" s="253" t="s">
        <v>1022</v>
      </c>
    </row>
    <row r="330" spans="1:4" x14ac:dyDescent="0.25">
      <c r="A330" s="252" t="s">
        <v>1187</v>
      </c>
      <c r="B330" s="252"/>
      <c r="C330" s="252" t="s">
        <v>1188</v>
      </c>
      <c r="D330" s="253"/>
    </row>
    <row r="331" spans="1:4" x14ac:dyDescent="0.25">
      <c r="A331" s="252" t="s">
        <v>1189</v>
      </c>
      <c r="B331" s="252"/>
      <c r="C331" s="252" t="s">
        <v>1190</v>
      </c>
      <c r="D331" s="253"/>
    </row>
    <row r="332" spans="1:4" x14ac:dyDescent="0.25">
      <c r="A332" s="252" t="s">
        <v>1191</v>
      </c>
      <c r="B332" s="252"/>
      <c r="C332" s="252" t="s">
        <v>1192</v>
      </c>
      <c r="D332" s="253"/>
    </row>
    <row r="333" spans="1:4" x14ac:dyDescent="0.25">
      <c r="A333" s="252" t="s">
        <v>1193</v>
      </c>
      <c r="B333" s="252"/>
      <c r="C333" s="252" t="s">
        <v>1194</v>
      </c>
      <c r="D333" s="253"/>
    </row>
    <row r="334" spans="1:4" x14ac:dyDescent="0.25">
      <c r="A334" s="252" t="s">
        <v>1195</v>
      </c>
      <c r="B334" s="252"/>
      <c r="C334" s="252" t="s">
        <v>1196</v>
      </c>
      <c r="D334" s="253"/>
    </row>
    <row r="335" spans="1:4" x14ac:dyDescent="0.25">
      <c r="A335" s="252" t="s">
        <v>1197</v>
      </c>
      <c r="B335" s="252"/>
      <c r="C335" s="252" t="s">
        <v>1198</v>
      </c>
      <c r="D335" s="253"/>
    </row>
    <row r="336" spans="1:4" x14ac:dyDescent="0.25">
      <c r="A336" s="252" t="s">
        <v>1199</v>
      </c>
      <c r="B336" s="252"/>
      <c r="C336" s="252" t="s">
        <v>1200</v>
      </c>
      <c r="D336" s="253"/>
    </row>
    <row r="337" spans="1:4" x14ac:dyDescent="0.25">
      <c r="A337" s="252" t="s">
        <v>1201</v>
      </c>
      <c r="B337" s="252"/>
      <c r="C337" s="252" t="s">
        <v>1202</v>
      </c>
      <c r="D337" s="253"/>
    </row>
    <row r="338" spans="1:4" x14ac:dyDescent="0.25">
      <c r="A338" s="252" t="s">
        <v>1203</v>
      </c>
      <c r="B338" s="252"/>
      <c r="C338" s="252" t="s">
        <v>1202</v>
      </c>
      <c r="D338" s="253"/>
    </row>
    <row r="339" spans="1:4" x14ac:dyDescent="0.25">
      <c r="A339" s="252" t="s">
        <v>1204</v>
      </c>
      <c r="B339" s="252"/>
      <c r="C339" s="252" t="s">
        <v>1202</v>
      </c>
      <c r="D339" s="253"/>
    </row>
    <row r="340" spans="1:4" x14ac:dyDescent="0.25">
      <c r="A340" s="252" t="s">
        <v>1205</v>
      </c>
      <c r="B340" s="252"/>
      <c r="C340" s="252" t="s">
        <v>1206</v>
      </c>
      <c r="D340" s="253"/>
    </row>
    <row r="341" spans="1:4" x14ac:dyDescent="0.25">
      <c r="A341" s="252" t="s">
        <v>1207</v>
      </c>
      <c r="B341" s="252"/>
      <c r="C341" s="252" t="s">
        <v>1017</v>
      </c>
      <c r="D341" s="253"/>
    </row>
    <row r="342" spans="1:4" ht="26.4" x14ac:dyDescent="0.25">
      <c r="A342" s="252" t="s">
        <v>1208</v>
      </c>
      <c r="B342" s="252"/>
      <c r="C342" s="252" t="s">
        <v>1209</v>
      </c>
      <c r="D342" s="253" t="s">
        <v>714</v>
      </c>
    </row>
    <row r="343" spans="1:4" x14ac:dyDescent="0.25">
      <c r="A343" s="255" t="s">
        <v>1210</v>
      </c>
      <c r="B343" s="254"/>
      <c r="C343" s="255" t="s">
        <v>1211</v>
      </c>
      <c r="D343" s="253"/>
    </row>
    <row r="344" spans="1:4" x14ac:dyDescent="0.25">
      <c r="A344" s="252" t="s">
        <v>1212</v>
      </c>
      <c r="B344" s="252"/>
      <c r="C344" s="252" t="s">
        <v>554</v>
      </c>
      <c r="D344" s="253"/>
    </row>
    <row r="345" spans="1:4" x14ac:dyDescent="0.25">
      <c r="A345" s="252" t="s">
        <v>1213</v>
      </c>
      <c r="B345" s="252"/>
      <c r="C345" s="252" t="s">
        <v>1214</v>
      </c>
      <c r="D345" s="253" t="s">
        <v>891</v>
      </c>
    </row>
    <row r="346" spans="1:4" x14ac:dyDescent="0.25">
      <c r="A346" s="252" t="s">
        <v>1215</v>
      </c>
      <c r="B346" s="252"/>
      <c r="C346" s="252" t="s">
        <v>1216</v>
      </c>
      <c r="D346" s="253" t="s">
        <v>947</v>
      </c>
    </row>
    <row r="347" spans="1:4" x14ac:dyDescent="0.25">
      <c r="A347" s="252" t="s">
        <v>1217</v>
      </c>
      <c r="B347" s="252"/>
      <c r="C347" s="252" t="s">
        <v>1218</v>
      </c>
      <c r="D347" s="253"/>
    </row>
    <row r="348" spans="1:4" x14ac:dyDescent="0.25">
      <c r="A348" s="252" t="s">
        <v>1219</v>
      </c>
      <c r="B348" s="252"/>
      <c r="C348" s="252" t="s">
        <v>1220</v>
      </c>
      <c r="D348" s="253"/>
    </row>
    <row r="349" spans="1:4" x14ac:dyDescent="0.25">
      <c r="A349" s="252" t="s">
        <v>1221</v>
      </c>
      <c r="B349" s="252"/>
      <c r="C349" s="252" t="s">
        <v>556</v>
      </c>
      <c r="D349" s="253"/>
    </row>
    <row r="350" spans="1:4" x14ac:dyDescent="0.25">
      <c r="A350" s="252" t="s">
        <v>1222</v>
      </c>
      <c r="B350" s="252"/>
      <c r="C350" s="252" t="s">
        <v>1223</v>
      </c>
      <c r="D350" s="253"/>
    </row>
    <row r="351" spans="1:4" x14ac:dyDescent="0.25">
      <c r="A351" s="255" t="s">
        <v>1224</v>
      </c>
      <c r="B351" s="254"/>
      <c r="C351" s="255" t="s">
        <v>1225</v>
      </c>
      <c r="D351" s="253"/>
    </row>
    <row r="352" spans="1:4" x14ac:dyDescent="0.25">
      <c r="A352" s="252" t="s">
        <v>1226</v>
      </c>
      <c r="B352" s="252"/>
      <c r="C352" s="252" t="s">
        <v>1225</v>
      </c>
      <c r="D352" s="253"/>
    </row>
    <row r="353" spans="1:4" x14ac:dyDescent="0.25">
      <c r="A353" s="252" t="s">
        <v>1227</v>
      </c>
      <c r="B353" s="252"/>
      <c r="C353" s="252" t="s">
        <v>1228</v>
      </c>
      <c r="D353" s="253"/>
    </row>
    <row r="354" spans="1:4" x14ac:dyDescent="0.25">
      <c r="A354" s="252" t="s">
        <v>1229</v>
      </c>
      <c r="B354" s="252"/>
      <c r="C354" s="252" t="s">
        <v>1230</v>
      </c>
      <c r="D354" s="253"/>
    </row>
    <row r="355" spans="1:4" x14ac:dyDescent="0.25">
      <c r="A355" s="252" t="s">
        <v>1231</v>
      </c>
      <c r="B355" s="252"/>
      <c r="C355" s="252" t="s">
        <v>1230</v>
      </c>
      <c r="D355" s="253"/>
    </row>
    <row r="356" spans="1:4" x14ac:dyDescent="0.25">
      <c r="A356" s="252" t="s">
        <v>1232</v>
      </c>
      <c r="B356" s="252"/>
      <c r="C356" s="252" t="s">
        <v>1230</v>
      </c>
      <c r="D356" s="253"/>
    </row>
    <row r="357" spans="1:4" x14ac:dyDescent="0.25">
      <c r="A357" s="252" t="s">
        <v>1233</v>
      </c>
      <c r="B357" s="252"/>
      <c r="C357" s="252" t="s">
        <v>1230</v>
      </c>
      <c r="D357" s="253"/>
    </row>
    <row r="358" spans="1:4" x14ac:dyDescent="0.25">
      <c r="A358" s="252" t="s">
        <v>1234</v>
      </c>
      <c r="B358" s="252"/>
      <c r="C358" s="252" t="s">
        <v>1235</v>
      </c>
      <c r="D358" s="253"/>
    </row>
    <row r="359" spans="1:4" x14ac:dyDescent="0.25">
      <c r="A359" s="252" t="s">
        <v>1236</v>
      </c>
      <c r="B359" s="252"/>
      <c r="C359" s="252" t="s">
        <v>1237</v>
      </c>
      <c r="D359" s="253" t="s">
        <v>1238</v>
      </c>
    </row>
    <row r="360" spans="1:4" x14ac:dyDescent="0.25">
      <c r="A360" s="252" t="s">
        <v>1239</v>
      </c>
      <c r="B360" s="252"/>
      <c r="C360" s="252" t="s">
        <v>1240</v>
      </c>
      <c r="D360" s="253" t="s">
        <v>1241</v>
      </c>
    </row>
    <row r="361" spans="1:4" x14ac:dyDescent="0.25">
      <c r="A361" s="252" t="s">
        <v>1242</v>
      </c>
      <c r="B361" s="252"/>
      <c r="C361" s="252" t="s">
        <v>1243</v>
      </c>
      <c r="D361" s="253"/>
    </row>
    <row r="362" spans="1:4" ht="26.4" x14ac:dyDescent="0.25">
      <c r="A362" s="252" t="s">
        <v>1244</v>
      </c>
      <c r="B362" s="252"/>
      <c r="C362" s="252" t="s">
        <v>1245</v>
      </c>
      <c r="D362" s="253"/>
    </row>
    <row r="363" spans="1:4" x14ac:dyDescent="0.25">
      <c r="A363" s="252" t="s">
        <v>1246</v>
      </c>
      <c r="B363" s="252"/>
      <c r="C363" s="252" t="s">
        <v>1247</v>
      </c>
      <c r="D363" s="253"/>
    </row>
    <row r="364" spans="1:4" x14ac:dyDescent="0.25">
      <c r="A364" s="252" t="s">
        <v>1248</v>
      </c>
      <c r="B364" s="252"/>
      <c r="C364" s="252" t="s">
        <v>1249</v>
      </c>
      <c r="D364" s="253"/>
    </row>
    <row r="365" spans="1:4" x14ac:dyDescent="0.25">
      <c r="A365" s="252" t="s">
        <v>1250</v>
      </c>
      <c r="B365" s="252"/>
      <c r="C365" s="252" t="s">
        <v>1251</v>
      </c>
      <c r="D365" s="253"/>
    </row>
    <row r="366" spans="1:4" x14ac:dyDescent="0.25">
      <c r="A366" s="252" t="s">
        <v>1252</v>
      </c>
      <c r="B366" s="252"/>
      <c r="C366" s="252" t="s">
        <v>1142</v>
      </c>
      <c r="D366" s="253"/>
    </row>
    <row r="367" spans="1:4" x14ac:dyDescent="0.25">
      <c r="A367" s="255" t="s">
        <v>1253</v>
      </c>
      <c r="B367" s="254"/>
      <c r="C367" s="255" t="s">
        <v>667</v>
      </c>
      <c r="D367" s="253"/>
    </row>
    <row r="368" spans="1:4" x14ac:dyDescent="0.25">
      <c r="A368" s="252" t="s">
        <v>1254</v>
      </c>
      <c r="B368" s="252"/>
      <c r="C368" s="252" t="s">
        <v>1142</v>
      </c>
      <c r="D368" s="253"/>
    </row>
    <row r="369" spans="1:4" x14ac:dyDescent="0.25">
      <c r="A369" s="255" t="s">
        <v>1255</v>
      </c>
      <c r="B369" s="254"/>
      <c r="C369" s="255" t="s">
        <v>1256</v>
      </c>
      <c r="D369" s="253"/>
    </row>
    <row r="370" spans="1:4" x14ac:dyDescent="0.25">
      <c r="A370" s="255" t="s">
        <v>1257</v>
      </c>
      <c r="B370" s="254"/>
      <c r="C370" s="255" t="s">
        <v>1258</v>
      </c>
      <c r="D370" s="253"/>
    </row>
    <row r="371" spans="1:4" x14ac:dyDescent="0.25">
      <c r="A371" s="252" t="s">
        <v>1259</v>
      </c>
      <c r="B371" s="252"/>
      <c r="C371" s="252" t="s">
        <v>1260</v>
      </c>
      <c r="D371" s="253" t="s">
        <v>746</v>
      </c>
    </row>
    <row r="372" spans="1:4" x14ac:dyDescent="0.25">
      <c r="A372" s="255" t="s">
        <v>1261</v>
      </c>
      <c r="B372" s="254"/>
      <c r="C372" s="255" t="s">
        <v>1262</v>
      </c>
      <c r="D372" s="253"/>
    </row>
    <row r="373" spans="1:4" x14ac:dyDescent="0.25">
      <c r="A373" s="252" t="s">
        <v>1263</v>
      </c>
      <c r="B373" s="252"/>
      <c r="C373" s="252" t="s">
        <v>1264</v>
      </c>
      <c r="D373" s="253"/>
    </row>
    <row r="374" spans="1:4" x14ac:dyDescent="0.25">
      <c r="A374" s="255" t="s">
        <v>1265</v>
      </c>
      <c r="B374" s="254"/>
      <c r="C374" s="255" t="s">
        <v>1262</v>
      </c>
      <c r="D374" s="253"/>
    </row>
    <row r="375" spans="1:4" x14ac:dyDescent="0.25">
      <c r="A375" s="252" t="s">
        <v>1266</v>
      </c>
      <c r="B375" s="252"/>
      <c r="C375" s="252" t="s">
        <v>1267</v>
      </c>
      <c r="D375" s="253"/>
    </row>
    <row r="376" spans="1:4" x14ac:dyDescent="0.25">
      <c r="A376" s="252" t="s">
        <v>1268</v>
      </c>
      <c r="B376" s="252"/>
      <c r="C376" s="252" t="s">
        <v>1088</v>
      </c>
      <c r="D376" s="253"/>
    </row>
    <row r="377" spans="1:4" x14ac:dyDescent="0.25">
      <c r="A377" s="252" t="s">
        <v>1269</v>
      </c>
      <c r="B377" s="252"/>
      <c r="C377" s="252" t="s">
        <v>1267</v>
      </c>
      <c r="D377" s="253"/>
    </row>
    <row r="378" spans="1:4" x14ac:dyDescent="0.25">
      <c r="A378" s="252" t="s">
        <v>1270</v>
      </c>
      <c r="B378" s="252"/>
      <c r="C378" s="252" t="s">
        <v>1271</v>
      </c>
      <c r="D378" s="253"/>
    </row>
    <row r="379" spans="1:4" x14ac:dyDescent="0.25">
      <c r="A379" s="252" t="s">
        <v>1272</v>
      </c>
      <c r="B379" s="252"/>
      <c r="C379" s="252" t="s">
        <v>1273</v>
      </c>
      <c r="D379" s="253"/>
    </row>
    <row r="380" spans="1:4" x14ac:dyDescent="0.25">
      <c r="A380" s="252" t="s">
        <v>1274</v>
      </c>
      <c r="B380" s="252"/>
      <c r="C380" s="252" t="s">
        <v>1275</v>
      </c>
      <c r="D380" s="253"/>
    </row>
    <row r="381" spans="1:4" x14ac:dyDescent="0.25">
      <c r="A381" s="252" t="s">
        <v>1276</v>
      </c>
      <c r="B381" s="252"/>
      <c r="C381" s="252" t="s">
        <v>1182</v>
      </c>
      <c r="D381" s="253"/>
    </row>
    <row r="382" spans="1:4" x14ac:dyDescent="0.25">
      <c r="A382" s="252" t="s">
        <v>1277</v>
      </c>
      <c r="B382" s="252"/>
      <c r="C382" s="252" t="s">
        <v>1182</v>
      </c>
      <c r="D382" s="253"/>
    </row>
    <row r="383" spans="1:4" x14ac:dyDescent="0.25">
      <c r="A383" s="252" t="s">
        <v>1278</v>
      </c>
      <c r="B383" s="252"/>
      <c r="C383" s="252" t="s">
        <v>1279</v>
      </c>
      <c r="D383" s="253"/>
    </row>
    <row r="384" spans="1:4" x14ac:dyDescent="0.25">
      <c r="A384" s="255" t="s">
        <v>1280</v>
      </c>
      <c r="B384" s="254"/>
      <c r="C384" s="255" t="s">
        <v>1281</v>
      </c>
      <c r="D384" s="253"/>
    </row>
    <row r="385" spans="1:4" x14ac:dyDescent="0.25">
      <c r="A385" s="252" t="s">
        <v>1282</v>
      </c>
      <c r="B385" s="252"/>
      <c r="C385" s="252" t="s">
        <v>1186</v>
      </c>
      <c r="D385" s="253" t="s">
        <v>1022</v>
      </c>
    </row>
    <row r="386" spans="1:4" x14ac:dyDescent="0.25">
      <c r="A386" s="252" t="s">
        <v>1283</v>
      </c>
      <c r="B386" s="252"/>
      <c r="C386" s="252" t="s">
        <v>1284</v>
      </c>
      <c r="D386" s="253"/>
    </row>
    <row r="387" spans="1:4" ht="26.4" x14ac:dyDescent="0.25">
      <c r="A387" s="252" t="s">
        <v>1285</v>
      </c>
      <c r="B387" s="252"/>
      <c r="C387" s="252" t="s">
        <v>1286</v>
      </c>
      <c r="D387" s="253"/>
    </row>
    <row r="388" spans="1:4" x14ac:dyDescent="0.25">
      <c r="A388" s="252" t="s">
        <v>1287</v>
      </c>
      <c r="B388" s="252"/>
      <c r="C388" s="252" t="s">
        <v>1288</v>
      </c>
      <c r="D388" s="253"/>
    </row>
    <row r="389" spans="1:4" x14ac:dyDescent="0.25">
      <c r="A389" s="252" t="s">
        <v>1289</v>
      </c>
      <c r="B389" s="252"/>
      <c r="C389" s="252" t="s">
        <v>1290</v>
      </c>
      <c r="D389" s="253"/>
    </row>
    <row r="390" spans="1:4" x14ac:dyDescent="0.25">
      <c r="A390" s="252" t="s">
        <v>1291</v>
      </c>
      <c r="B390" s="252"/>
      <c r="C390" s="252" t="s">
        <v>1292</v>
      </c>
      <c r="D390" s="253"/>
    </row>
    <row r="391" spans="1:4" x14ac:dyDescent="0.25">
      <c r="A391" s="252" t="s">
        <v>1293</v>
      </c>
      <c r="B391" s="252"/>
      <c r="C391" s="252" t="s">
        <v>1292</v>
      </c>
      <c r="D391" s="253"/>
    </row>
    <row r="392" spans="1:4" x14ac:dyDescent="0.25">
      <c r="A392" s="252" t="s">
        <v>1294</v>
      </c>
      <c r="B392" s="252"/>
      <c r="C392" s="252" t="s">
        <v>1292</v>
      </c>
      <c r="D392" s="253"/>
    </row>
    <row r="393" spans="1:4" x14ac:dyDescent="0.25">
      <c r="A393" s="252" t="s">
        <v>1295</v>
      </c>
      <c r="B393" s="252"/>
      <c r="C393" s="252" t="s">
        <v>1292</v>
      </c>
      <c r="D393" s="253"/>
    </row>
    <row r="394" spans="1:4" x14ac:dyDescent="0.25">
      <c r="A394" s="252" t="s">
        <v>1296</v>
      </c>
      <c r="B394" s="252"/>
      <c r="C394" s="252" t="s">
        <v>1292</v>
      </c>
      <c r="D394" s="253"/>
    </row>
    <row r="395" spans="1:4" x14ac:dyDescent="0.25">
      <c r="A395" s="252" t="s">
        <v>1297</v>
      </c>
      <c r="B395" s="252"/>
      <c r="C395" s="252" t="s">
        <v>1292</v>
      </c>
      <c r="D395" s="253"/>
    </row>
    <row r="396" spans="1:4" x14ac:dyDescent="0.25">
      <c r="A396" s="252" t="s">
        <v>1298</v>
      </c>
      <c r="B396" s="252"/>
      <c r="C396" s="252" t="s">
        <v>1292</v>
      </c>
      <c r="D396" s="253"/>
    </row>
    <row r="397" spans="1:4" x14ac:dyDescent="0.25">
      <c r="A397" s="252" t="s">
        <v>1299</v>
      </c>
      <c r="B397" s="252"/>
      <c r="C397" s="252" t="s">
        <v>940</v>
      </c>
      <c r="D397" s="253"/>
    </row>
    <row r="398" spans="1:4" x14ac:dyDescent="0.25">
      <c r="A398" s="255" t="s">
        <v>1300</v>
      </c>
      <c r="B398" s="254"/>
      <c r="C398" s="255" t="s">
        <v>1301</v>
      </c>
      <c r="D398" s="253"/>
    </row>
    <row r="399" spans="1:4" x14ac:dyDescent="0.25">
      <c r="A399" s="252" t="s">
        <v>1302</v>
      </c>
      <c r="B399" s="252"/>
      <c r="C399" s="252" t="s">
        <v>1303</v>
      </c>
      <c r="D399" s="253"/>
    </row>
    <row r="400" spans="1:4" x14ac:dyDescent="0.25">
      <c r="A400" s="252" t="s">
        <v>1304</v>
      </c>
      <c r="B400" s="252"/>
      <c r="C400" s="252" t="s">
        <v>1305</v>
      </c>
      <c r="D400" s="253"/>
    </row>
    <row r="401" spans="1:4" x14ac:dyDescent="0.25">
      <c r="A401" s="252" t="s">
        <v>1306</v>
      </c>
      <c r="B401" s="252"/>
      <c r="C401" s="252" t="s">
        <v>1307</v>
      </c>
      <c r="D401" s="253"/>
    </row>
    <row r="402" spans="1:4" x14ac:dyDescent="0.25">
      <c r="A402" s="252" t="s">
        <v>1308</v>
      </c>
      <c r="B402" s="252"/>
      <c r="C402" s="252" t="s">
        <v>1309</v>
      </c>
      <c r="D402" s="253"/>
    </row>
    <row r="403" spans="1:4" x14ac:dyDescent="0.25">
      <c r="A403" s="252" t="s">
        <v>1310</v>
      </c>
      <c r="B403" s="252"/>
      <c r="C403" s="252" t="s">
        <v>1311</v>
      </c>
      <c r="D403" s="253"/>
    </row>
    <row r="404" spans="1:4" x14ac:dyDescent="0.25">
      <c r="A404" s="252" t="s">
        <v>1312</v>
      </c>
      <c r="B404" s="252"/>
      <c r="C404" s="252" t="s">
        <v>1313</v>
      </c>
      <c r="D404" s="253"/>
    </row>
    <row r="405" spans="1:4" x14ac:dyDescent="0.25">
      <c r="A405" s="252" t="s">
        <v>1314</v>
      </c>
      <c r="B405" s="252"/>
      <c r="C405" s="252" t="s">
        <v>1166</v>
      </c>
      <c r="D405" s="253"/>
    </row>
    <row r="406" spans="1:4" x14ac:dyDescent="0.25">
      <c r="A406" s="252" t="s">
        <v>1315</v>
      </c>
      <c r="B406" s="252"/>
      <c r="C406" s="252" t="s">
        <v>1316</v>
      </c>
      <c r="D406" s="253"/>
    </row>
    <row r="407" spans="1:4" x14ac:dyDescent="0.25">
      <c r="A407" s="252" t="s">
        <v>1317</v>
      </c>
      <c r="B407" s="252"/>
      <c r="C407" s="252" t="s">
        <v>1316</v>
      </c>
      <c r="D407" s="253"/>
    </row>
    <row r="408" spans="1:4" x14ac:dyDescent="0.25">
      <c r="A408" s="252" t="s">
        <v>1318</v>
      </c>
      <c r="B408" s="252"/>
      <c r="C408" s="252" t="s">
        <v>1319</v>
      </c>
      <c r="D408" s="253"/>
    </row>
    <row r="409" spans="1:4" ht="26.4" x14ac:dyDescent="0.25">
      <c r="A409" s="252" t="s">
        <v>1320</v>
      </c>
      <c r="B409" s="252"/>
      <c r="C409" s="252" t="s">
        <v>1321</v>
      </c>
      <c r="D409" s="253"/>
    </row>
    <row r="410" spans="1:4" x14ac:dyDescent="0.25">
      <c r="A410" s="252" t="s">
        <v>1322</v>
      </c>
      <c r="B410" s="252"/>
      <c r="C410" s="252" t="s">
        <v>1323</v>
      </c>
      <c r="D410" s="253"/>
    </row>
    <row r="411" spans="1:4" ht="26.4" x14ac:dyDescent="0.25">
      <c r="A411" s="252" t="s">
        <v>1324</v>
      </c>
      <c r="B411" s="252"/>
      <c r="C411" s="252" t="s">
        <v>1325</v>
      </c>
      <c r="D411" s="253"/>
    </row>
    <row r="412" spans="1:4" x14ac:dyDescent="0.25">
      <c r="A412" s="252" t="s">
        <v>1326</v>
      </c>
      <c r="B412" s="252"/>
      <c r="C412" s="252" t="s">
        <v>1323</v>
      </c>
      <c r="D412" s="253"/>
    </row>
    <row r="413" spans="1:4" x14ac:dyDescent="0.25">
      <c r="A413" s="252" t="s">
        <v>1327</v>
      </c>
      <c r="B413" s="252"/>
      <c r="C413" s="252" t="s">
        <v>1328</v>
      </c>
      <c r="D413" s="253"/>
    </row>
    <row r="414" spans="1:4" x14ac:dyDescent="0.25">
      <c r="A414" s="252" t="s">
        <v>1329</v>
      </c>
      <c r="B414" s="252"/>
      <c r="C414" s="252" t="s">
        <v>1021</v>
      </c>
      <c r="D414" s="253" t="s">
        <v>1022</v>
      </c>
    </row>
    <row r="415" spans="1:4" x14ac:dyDescent="0.25">
      <c r="A415" s="252" t="s">
        <v>1330</v>
      </c>
      <c r="B415" s="252"/>
      <c r="C415" s="252" t="s">
        <v>1331</v>
      </c>
      <c r="D415" s="253"/>
    </row>
    <row r="416" spans="1:4" x14ac:dyDescent="0.25">
      <c r="A416" s="252" t="s">
        <v>1332</v>
      </c>
      <c r="B416" s="252"/>
      <c r="C416" s="252" t="s">
        <v>1333</v>
      </c>
      <c r="D416" s="253"/>
    </row>
    <row r="417" spans="1:4" x14ac:dyDescent="0.25">
      <c r="A417" s="252" t="s">
        <v>1334</v>
      </c>
      <c r="B417" s="252"/>
      <c r="C417" s="252" t="s">
        <v>1335</v>
      </c>
      <c r="D417" s="253"/>
    </row>
    <row r="418" spans="1:4" x14ac:dyDescent="0.25">
      <c r="A418" s="252" t="s">
        <v>1336</v>
      </c>
      <c r="B418" s="252"/>
      <c r="C418" s="252" t="s">
        <v>1337</v>
      </c>
      <c r="D418" s="253"/>
    </row>
    <row r="419" spans="1:4" x14ac:dyDescent="0.25">
      <c r="A419" s="252" t="s">
        <v>1338</v>
      </c>
      <c r="B419" s="252"/>
      <c r="C419" s="252" t="s">
        <v>1339</v>
      </c>
      <c r="D419" s="253"/>
    </row>
    <row r="420" spans="1:4" x14ac:dyDescent="0.25">
      <c r="A420" s="252" t="s">
        <v>1340</v>
      </c>
      <c r="B420" s="252"/>
      <c r="C420" s="252" t="s">
        <v>1341</v>
      </c>
      <c r="D420" s="253"/>
    </row>
    <row r="421" spans="1:4" x14ac:dyDescent="0.25">
      <c r="A421" s="252" t="s">
        <v>1342</v>
      </c>
      <c r="B421" s="252"/>
      <c r="C421" s="252" t="s">
        <v>1343</v>
      </c>
      <c r="D421" s="253"/>
    </row>
    <row r="422" spans="1:4" ht="26.4" x14ac:dyDescent="0.25">
      <c r="A422" s="252" t="s">
        <v>1344</v>
      </c>
      <c r="B422" s="252"/>
      <c r="C422" s="252" t="s">
        <v>1345</v>
      </c>
      <c r="D422" s="253"/>
    </row>
    <row r="423" spans="1:4" x14ac:dyDescent="0.25">
      <c r="A423" s="252" t="s">
        <v>1346</v>
      </c>
      <c r="B423" s="252"/>
      <c r="C423" s="252" t="s">
        <v>872</v>
      </c>
      <c r="D423" s="253"/>
    </row>
    <row r="424" spans="1:4" x14ac:dyDescent="0.25">
      <c r="A424" s="252" t="s">
        <v>1347</v>
      </c>
      <c r="B424" s="252"/>
      <c r="C424" s="252" t="s">
        <v>1348</v>
      </c>
      <c r="D424" s="253" t="s">
        <v>1349</v>
      </c>
    </row>
    <row r="425" spans="1:4" x14ac:dyDescent="0.25">
      <c r="A425" s="252" t="s">
        <v>1350</v>
      </c>
      <c r="B425" s="252"/>
      <c r="C425" s="252" t="s">
        <v>1351</v>
      </c>
      <c r="D425" s="253"/>
    </row>
    <row r="426" spans="1:4" x14ac:dyDescent="0.25">
      <c r="A426" s="252" t="s">
        <v>1352</v>
      </c>
      <c r="B426" s="252"/>
      <c r="C426" s="252" t="s">
        <v>1353</v>
      </c>
      <c r="D426" s="253"/>
    </row>
    <row r="427" spans="1:4" x14ac:dyDescent="0.25">
      <c r="A427" s="252" t="s">
        <v>1354</v>
      </c>
      <c r="B427" s="252"/>
      <c r="C427" s="252" t="s">
        <v>1355</v>
      </c>
      <c r="D427" s="253"/>
    </row>
    <row r="428" spans="1:4" x14ac:dyDescent="0.25">
      <c r="A428" s="252" t="s">
        <v>1356</v>
      </c>
      <c r="B428" s="252"/>
      <c r="C428" s="252" t="s">
        <v>1357</v>
      </c>
      <c r="D428" s="253"/>
    </row>
    <row r="429" spans="1:4" x14ac:dyDescent="0.25">
      <c r="A429" s="252" t="s">
        <v>1358</v>
      </c>
      <c r="B429" s="252"/>
      <c r="C429" s="252" t="s">
        <v>1359</v>
      </c>
      <c r="D429" s="253" t="s">
        <v>688</v>
      </c>
    </row>
    <row r="430" spans="1:4" x14ac:dyDescent="0.25">
      <c r="A430" s="252" t="s">
        <v>1360</v>
      </c>
      <c r="B430" s="252"/>
      <c r="C430" s="252" t="s">
        <v>1361</v>
      </c>
      <c r="D430" s="253"/>
    </row>
    <row r="431" spans="1:4" x14ac:dyDescent="0.25">
      <c r="A431" s="252" t="s">
        <v>1362</v>
      </c>
      <c r="B431" s="252"/>
      <c r="C431" s="252" t="s">
        <v>1363</v>
      </c>
      <c r="D431" s="253"/>
    </row>
    <row r="432" spans="1:4" x14ac:dyDescent="0.25">
      <c r="A432" s="252" t="s">
        <v>1364</v>
      </c>
      <c r="B432" s="252"/>
      <c r="C432" s="252" t="s">
        <v>1365</v>
      </c>
      <c r="D432" s="253" t="s">
        <v>1366</v>
      </c>
    </row>
    <row r="433" spans="1:4" x14ac:dyDescent="0.25">
      <c r="A433" s="252" t="s">
        <v>1367</v>
      </c>
      <c r="B433" s="252"/>
      <c r="C433" s="252" t="s">
        <v>1368</v>
      </c>
      <c r="D433" s="253"/>
    </row>
    <row r="434" spans="1:4" x14ac:dyDescent="0.25">
      <c r="A434" s="252" t="s">
        <v>1369</v>
      </c>
      <c r="B434" s="252"/>
      <c r="C434" s="252" t="s">
        <v>1370</v>
      </c>
      <c r="D434" s="253"/>
    </row>
    <row r="435" spans="1:4" x14ac:dyDescent="0.25">
      <c r="A435" s="252" t="s">
        <v>1371</v>
      </c>
      <c r="B435" s="252"/>
      <c r="C435" s="252" t="s">
        <v>1372</v>
      </c>
      <c r="D435" s="253"/>
    </row>
    <row r="436" spans="1:4" x14ac:dyDescent="0.25">
      <c r="A436" s="252" t="s">
        <v>1373</v>
      </c>
      <c r="B436" s="252"/>
      <c r="C436" s="252" t="s">
        <v>1374</v>
      </c>
      <c r="D436" s="253"/>
    </row>
    <row r="437" spans="1:4" x14ac:dyDescent="0.25">
      <c r="A437" s="252" t="s">
        <v>1375</v>
      </c>
      <c r="B437" s="252"/>
      <c r="C437" s="252" t="s">
        <v>1127</v>
      </c>
      <c r="D437" s="253"/>
    </row>
    <row r="438" spans="1:4" x14ac:dyDescent="0.25">
      <c r="A438" s="252" t="s">
        <v>1376</v>
      </c>
      <c r="B438" s="252"/>
      <c r="C438" s="252" t="s">
        <v>1377</v>
      </c>
      <c r="D438" s="253" t="s">
        <v>714</v>
      </c>
    </row>
    <row r="439" spans="1:4" x14ac:dyDescent="0.25">
      <c r="A439" s="252" t="s">
        <v>1378</v>
      </c>
      <c r="B439" s="252"/>
      <c r="C439" s="252" t="s">
        <v>1379</v>
      </c>
      <c r="D439" s="253"/>
    </row>
    <row r="440" spans="1:4" x14ac:dyDescent="0.25">
      <c r="A440" s="252" t="s">
        <v>1380</v>
      </c>
      <c r="B440" s="252"/>
      <c r="C440" s="252" t="s">
        <v>825</v>
      </c>
      <c r="D440" s="253"/>
    </row>
    <row r="441" spans="1:4" x14ac:dyDescent="0.25">
      <c r="A441" s="252" t="s">
        <v>1381</v>
      </c>
      <c r="B441" s="252"/>
      <c r="C441" s="252" t="s">
        <v>921</v>
      </c>
      <c r="D441" s="253"/>
    </row>
    <row r="442" spans="1:4" x14ac:dyDescent="0.25">
      <c r="A442" s="252" t="s">
        <v>1382</v>
      </c>
      <c r="B442" s="252"/>
      <c r="C442" s="252" t="s">
        <v>1383</v>
      </c>
      <c r="D442" s="253"/>
    </row>
    <row r="443" spans="1:4" x14ac:dyDescent="0.25">
      <c r="A443" s="255" t="s">
        <v>1384</v>
      </c>
      <c r="B443" s="254"/>
      <c r="C443" s="255" t="s">
        <v>1385</v>
      </c>
      <c r="D443" s="253"/>
    </row>
    <row r="444" spans="1:4" x14ac:dyDescent="0.25">
      <c r="A444" s="252" t="s">
        <v>1386</v>
      </c>
      <c r="B444" s="252"/>
      <c r="C444" s="252" t="s">
        <v>1387</v>
      </c>
      <c r="D444" s="253"/>
    </row>
    <row r="445" spans="1:4" x14ac:dyDescent="0.25">
      <c r="A445" s="255" t="s">
        <v>1388</v>
      </c>
      <c r="B445" s="254"/>
      <c r="C445" s="255" t="s">
        <v>1389</v>
      </c>
      <c r="D445" s="253"/>
    </row>
    <row r="446" spans="1:4" x14ac:dyDescent="0.25">
      <c r="A446" s="252" t="s">
        <v>1390</v>
      </c>
      <c r="B446" s="252"/>
      <c r="C446" s="252" t="s">
        <v>1389</v>
      </c>
      <c r="D446" s="253"/>
    </row>
    <row r="447" spans="1:4" x14ac:dyDescent="0.25">
      <c r="A447" s="252" t="s">
        <v>1391</v>
      </c>
      <c r="B447" s="252"/>
      <c r="C447" s="252" t="s">
        <v>1392</v>
      </c>
      <c r="D447" s="253"/>
    </row>
    <row r="448" spans="1:4" x14ac:dyDescent="0.25">
      <c r="A448" s="252" t="s">
        <v>1393</v>
      </c>
      <c r="B448" s="252"/>
      <c r="C448" s="252" t="s">
        <v>558</v>
      </c>
      <c r="D448" s="253"/>
    </row>
    <row r="449" spans="1:7" x14ac:dyDescent="0.25">
      <c r="A449" s="252" t="s">
        <v>1394</v>
      </c>
      <c r="B449" s="252"/>
      <c r="C449" s="252" t="s">
        <v>1395</v>
      </c>
      <c r="D449" s="253"/>
    </row>
    <row r="450" spans="1:7" ht="26.4" x14ac:dyDescent="0.25">
      <c r="A450" s="252" t="s">
        <v>1396</v>
      </c>
      <c r="B450" s="252"/>
      <c r="C450" s="252" t="s">
        <v>1397</v>
      </c>
      <c r="D450" s="253"/>
    </row>
    <row r="451" spans="1:7" ht="26.4" x14ac:dyDescent="0.25">
      <c r="A451" s="252" t="s">
        <v>1398</v>
      </c>
      <c r="B451" s="252"/>
      <c r="C451" s="252" t="s">
        <v>579</v>
      </c>
      <c r="D451" s="253"/>
    </row>
    <row r="452" spans="1:7" ht="26.4" x14ac:dyDescent="0.25">
      <c r="A452" s="252" t="s">
        <v>1399</v>
      </c>
      <c r="B452" s="252"/>
      <c r="C452" s="252" t="s">
        <v>579</v>
      </c>
      <c r="D452" s="253"/>
    </row>
    <row r="453" spans="1:7" x14ac:dyDescent="0.25">
      <c r="A453" s="252" t="s">
        <v>1400</v>
      </c>
      <c r="B453" s="252"/>
      <c r="C453" s="252" t="s">
        <v>1401</v>
      </c>
      <c r="D453" s="253"/>
    </row>
    <row r="454" spans="1:7" x14ac:dyDescent="0.25">
      <c r="A454" s="252" t="s">
        <v>1402</v>
      </c>
      <c r="B454" s="252"/>
      <c r="C454" s="252" t="s">
        <v>585</v>
      </c>
      <c r="D454" s="253"/>
    </row>
    <row r="455" spans="1:7" x14ac:dyDescent="0.25">
      <c r="A455" s="252" t="s">
        <v>1403</v>
      </c>
      <c r="B455" s="252"/>
      <c r="C455" s="252" t="s">
        <v>589</v>
      </c>
      <c r="D455" s="253"/>
    </row>
    <row r="456" spans="1:7" x14ac:dyDescent="0.25">
      <c r="A456" s="252" t="s">
        <v>1404</v>
      </c>
      <c r="B456" s="252"/>
      <c r="C456" s="252" t="s">
        <v>1405</v>
      </c>
      <c r="D456" s="253"/>
    </row>
    <row r="457" spans="1:7" x14ac:dyDescent="0.25">
      <c r="A457" s="252" t="s">
        <v>1406</v>
      </c>
      <c r="B457" s="252"/>
      <c r="C457" s="252" t="s">
        <v>1407</v>
      </c>
      <c r="D457" s="253"/>
    </row>
    <row r="458" spans="1:7" x14ac:dyDescent="0.25">
      <c r="A458" s="252" t="s">
        <v>1408</v>
      </c>
      <c r="B458" s="252"/>
      <c r="C458" s="252" t="s">
        <v>1407</v>
      </c>
      <c r="D458" s="253"/>
    </row>
    <row r="459" spans="1:7" x14ac:dyDescent="0.25">
      <c r="A459" s="252" t="s">
        <v>1409</v>
      </c>
      <c r="B459" s="252"/>
      <c r="C459" s="252" t="s">
        <v>1410</v>
      </c>
      <c r="D459" s="253"/>
    </row>
    <row r="460" spans="1:7" ht="26.4" x14ac:dyDescent="0.25">
      <c r="A460" s="255" t="s">
        <v>1411</v>
      </c>
      <c r="B460" s="254"/>
      <c r="C460" s="255" t="s">
        <v>1412</v>
      </c>
      <c r="D460" s="253"/>
      <c r="G460" s="262"/>
    </row>
    <row r="461" spans="1:7" x14ac:dyDescent="0.25">
      <c r="A461" s="252" t="s">
        <v>1413</v>
      </c>
      <c r="B461" s="252"/>
      <c r="C461" s="252" t="s">
        <v>1414</v>
      </c>
      <c r="D461" s="253"/>
    </row>
    <row r="462" spans="1:7" ht="26.4" x14ac:dyDescent="0.25">
      <c r="A462" s="252" t="s">
        <v>1415</v>
      </c>
      <c r="B462" s="252"/>
      <c r="C462" s="252" t="s">
        <v>1416</v>
      </c>
      <c r="D462" s="253"/>
    </row>
    <row r="463" spans="1:7" x14ac:dyDescent="0.25">
      <c r="A463" s="252" t="s">
        <v>1417</v>
      </c>
      <c r="B463" s="252"/>
      <c r="C463" s="252" t="s">
        <v>1418</v>
      </c>
      <c r="D463" s="253"/>
    </row>
    <row r="464" spans="1:7" ht="26.4" x14ac:dyDescent="0.25">
      <c r="A464" s="252" t="s">
        <v>1419</v>
      </c>
      <c r="B464" s="252"/>
      <c r="C464" s="252" t="s">
        <v>1420</v>
      </c>
      <c r="D464" s="253"/>
    </row>
    <row r="465" spans="1:4" ht="26.4" x14ac:dyDescent="0.25">
      <c r="A465" s="252" t="s">
        <v>1421</v>
      </c>
      <c r="B465" s="252"/>
      <c r="C465" s="252" t="s">
        <v>1422</v>
      </c>
      <c r="D465" s="253"/>
    </row>
    <row r="466" spans="1:4" x14ac:dyDescent="0.25">
      <c r="A466" s="252" t="s">
        <v>1423</v>
      </c>
      <c r="B466" s="252"/>
      <c r="C466" s="252" t="s">
        <v>1424</v>
      </c>
      <c r="D466" s="253"/>
    </row>
    <row r="467" spans="1:4" x14ac:dyDescent="0.25">
      <c r="A467" s="252" t="s">
        <v>1425</v>
      </c>
      <c r="B467" s="252"/>
      <c r="C467" s="252" t="s">
        <v>1426</v>
      </c>
      <c r="D467" s="253"/>
    </row>
    <row r="468" spans="1:4" ht="26.4" x14ac:dyDescent="0.25">
      <c r="A468" s="252" t="s">
        <v>1427</v>
      </c>
      <c r="B468" s="252"/>
      <c r="C468" s="252" t="s">
        <v>1428</v>
      </c>
      <c r="D468" s="253"/>
    </row>
    <row r="469" spans="1:4" ht="26.4" x14ac:dyDescent="0.25">
      <c r="A469" s="252" t="s">
        <v>1429</v>
      </c>
      <c r="B469" s="252"/>
      <c r="C469" s="252" t="s">
        <v>1428</v>
      </c>
      <c r="D469" s="253"/>
    </row>
    <row r="470" spans="1:4" ht="26.4" x14ac:dyDescent="0.25">
      <c r="A470" s="252" t="s">
        <v>1430</v>
      </c>
      <c r="B470" s="252"/>
      <c r="C470" s="252" t="s">
        <v>1431</v>
      </c>
      <c r="D470" s="253"/>
    </row>
    <row r="471" spans="1:4" x14ac:dyDescent="0.25">
      <c r="A471" s="252" t="s">
        <v>1432</v>
      </c>
      <c r="B471" s="252"/>
      <c r="C471" s="252" t="s">
        <v>1433</v>
      </c>
      <c r="D471" s="253"/>
    </row>
    <row r="472" spans="1:4" ht="26.4" x14ac:dyDescent="0.25">
      <c r="A472" s="252" t="s">
        <v>1434</v>
      </c>
      <c r="B472" s="252"/>
      <c r="C472" s="252" t="s">
        <v>1435</v>
      </c>
      <c r="D472" s="253"/>
    </row>
    <row r="473" spans="1:4" ht="26.4" x14ac:dyDescent="0.25">
      <c r="A473" s="252" t="s">
        <v>1436</v>
      </c>
      <c r="B473" s="252"/>
      <c r="C473" s="252" t="s">
        <v>1437</v>
      </c>
      <c r="D473" s="253"/>
    </row>
    <row r="474" spans="1:4" ht="26.4" x14ac:dyDescent="0.25">
      <c r="A474" s="252" t="s">
        <v>1438</v>
      </c>
      <c r="B474" s="252"/>
      <c r="C474" s="252" t="s">
        <v>1439</v>
      </c>
      <c r="D474" s="253"/>
    </row>
    <row r="475" spans="1:4" ht="26.4" x14ac:dyDescent="0.25">
      <c r="A475" s="252" t="s">
        <v>1440</v>
      </c>
      <c r="B475" s="252"/>
      <c r="C475" s="252" t="s">
        <v>1441</v>
      </c>
      <c r="D475" s="253"/>
    </row>
    <row r="476" spans="1:4" ht="26.4" x14ac:dyDescent="0.25">
      <c r="A476" s="252" t="s">
        <v>1442</v>
      </c>
      <c r="B476" s="252"/>
      <c r="C476" s="252" t="s">
        <v>1443</v>
      </c>
      <c r="D476" s="253"/>
    </row>
    <row r="477" spans="1:4" x14ac:dyDescent="0.25">
      <c r="A477" s="252" t="s">
        <v>1444</v>
      </c>
      <c r="B477" s="252"/>
      <c r="C477" s="252" t="s">
        <v>1445</v>
      </c>
      <c r="D477" s="253"/>
    </row>
    <row r="478" spans="1:4" x14ac:dyDescent="0.25">
      <c r="A478" s="252" t="s">
        <v>1446</v>
      </c>
      <c r="B478" s="252"/>
      <c r="C478" s="252" t="s">
        <v>1045</v>
      </c>
      <c r="D478" s="253"/>
    </row>
    <row r="479" spans="1:4" x14ac:dyDescent="0.25">
      <c r="A479" s="252" t="s">
        <v>1447</v>
      </c>
      <c r="B479" s="252"/>
      <c r="C479" s="252" t="s">
        <v>1448</v>
      </c>
      <c r="D479" s="253"/>
    </row>
    <row r="480" spans="1:4" x14ac:dyDescent="0.25">
      <c r="A480" s="252" t="s">
        <v>1449</v>
      </c>
      <c r="B480" s="252"/>
      <c r="C480" s="252" t="s">
        <v>1450</v>
      </c>
      <c r="D480" s="253"/>
    </row>
    <row r="481" spans="1:4" x14ac:dyDescent="0.25">
      <c r="A481" s="252" t="s">
        <v>1451</v>
      </c>
      <c r="B481" s="252"/>
      <c r="C481" s="252" t="s">
        <v>1452</v>
      </c>
      <c r="D481" s="253" t="s">
        <v>746</v>
      </c>
    </row>
    <row r="482" spans="1:4" x14ac:dyDescent="0.25">
      <c r="A482" s="252" t="s">
        <v>1453</v>
      </c>
      <c r="B482" s="252"/>
      <c r="C482" s="252" t="s">
        <v>1454</v>
      </c>
      <c r="D482" s="253" t="s">
        <v>1455</v>
      </c>
    </row>
    <row r="483" spans="1:4" x14ac:dyDescent="0.25">
      <c r="A483" s="252" t="s">
        <v>1456</v>
      </c>
      <c r="B483" s="252"/>
      <c r="C483" s="252" t="s">
        <v>1457</v>
      </c>
      <c r="D483" s="253"/>
    </row>
    <row r="484" spans="1:4" x14ac:dyDescent="0.25">
      <c r="A484" s="252" t="s">
        <v>1458</v>
      </c>
      <c r="B484" s="252"/>
      <c r="C484" s="252" t="s">
        <v>1459</v>
      </c>
      <c r="D484" s="253"/>
    </row>
    <row r="485" spans="1:4" x14ac:dyDescent="0.25">
      <c r="A485" s="252" t="s">
        <v>1460</v>
      </c>
      <c r="B485" s="252"/>
      <c r="C485" s="252" t="s">
        <v>938</v>
      </c>
      <c r="D485" s="253"/>
    </row>
    <row r="486" spans="1:4" x14ac:dyDescent="0.25">
      <c r="A486" s="252" t="s">
        <v>1461</v>
      </c>
      <c r="B486" s="252"/>
      <c r="C486" s="252" t="s">
        <v>1462</v>
      </c>
      <c r="D486" s="253"/>
    </row>
    <row r="487" spans="1:4" x14ac:dyDescent="0.25">
      <c r="A487" s="252" t="s">
        <v>1463</v>
      </c>
      <c r="B487" s="252"/>
      <c r="C487" s="252" t="s">
        <v>1464</v>
      </c>
      <c r="D487" s="253"/>
    </row>
    <row r="488" spans="1:4" x14ac:dyDescent="0.25">
      <c r="A488" s="252" t="s">
        <v>1465</v>
      </c>
      <c r="B488" s="252"/>
      <c r="C488" s="252" t="s">
        <v>940</v>
      </c>
      <c r="D488" s="253"/>
    </row>
    <row r="489" spans="1:4" x14ac:dyDescent="0.25">
      <c r="A489" s="252" t="s">
        <v>1466</v>
      </c>
      <c r="B489" s="252"/>
      <c r="C489" s="252" t="s">
        <v>1467</v>
      </c>
      <c r="D489" s="253"/>
    </row>
    <row r="490" spans="1:4" x14ac:dyDescent="0.25">
      <c r="A490" s="252" t="s">
        <v>1468</v>
      </c>
      <c r="B490" s="252"/>
      <c r="C490" s="252" t="s">
        <v>1469</v>
      </c>
      <c r="D490" s="253"/>
    </row>
    <row r="491" spans="1:4" x14ac:dyDescent="0.25">
      <c r="A491" s="252" t="s">
        <v>1470</v>
      </c>
      <c r="B491" s="252"/>
      <c r="C491" s="252" t="s">
        <v>1471</v>
      </c>
      <c r="D491" s="253"/>
    </row>
    <row r="492" spans="1:4" x14ac:dyDescent="0.25">
      <c r="A492" s="252" t="s">
        <v>1472</v>
      </c>
      <c r="B492" s="252"/>
      <c r="C492" s="252" t="s">
        <v>1473</v>
      </c>
      <c r="D492" s="253"/>
    </row>
    <row r="493" spans="1:4" x14ac:dyDescent="0.25">
      <c r="A493" s="252" t="s">
        <v>1474</v>
      </c>
      <c r="B493" s="252"/>
      <c r="C493" s="252" t="s">
        <v>1475</v>
      </c>
      <c r="D493" s="253"/>
    </row>
    <row r="494" spans="1:4" x14ac:dyDescent="0.25">
      <c r="A494" s="252" t="s">
        <v>1476</v>
      </c>
      <c r="B494" s="252"/>
      <c r="C494" s="252" t="s">
        <v>1477</v>
      </c>
      <c r="D494" s="253"/>
    </row>
    <row r="495" spans="1:4" x14ac:dyDescent="0.25">
      <c r="A495" s="252" t="s">
        <v>1478</v>
      </c>
      <c r="B495" s="252"/>
      <c r="C495" s="252" t="s">
        <v>872</v>
      </c>
      <c r="D495" s="253"/>
    </row>
    <row r="496" spans="1:4" x14ac:dyDescent="0.25">
      <c r="A496" s="252" t="s">
        <v>1479</v>
      </c>
      <c r="B496" s="252"/>
      <c r="C496" s="252" t="s">
        <v>1480</v>
      </c>
      <c r="D496" s="253"/>
    </row>
    <row r="497" spans="1:4" x14ac:dyDescent="0.25">
      <c r="A497" s="252" t="s">
        <v>1481</v>
      </c>
      <c r="B497" s="252"/>
      <c r="C497" s="252" t="s">
        <v>1482</v>
      </c>
      <c r="D497" s="253"/>
    </row>
    <row r="498" spans="1:4" x14ac:dyDescent="0.25">
      <c r="A498" s="252" t="s">
        <v>1483</v>
      </c>
      <c r="B498" s="252"/>
      <c r="C498" s="252" t="s">
        <v>1484</v>
      </c>
      <c r="D498" s="253"/>
    </row>
    <row r="499" spans="1:4" x14ac:dyDescent="0.25">
      <c r="A499" s="252" t="s">
        <v>1485</v>
      </c>
      <c r="B499" s="252"/>
      <c r="C499" s="252" t="s">
        <v>1486</v>
      </c>
      <c r="D499" s="253" t="s">
        <v>1487</v>
      </c>
    </row>
    <row r="500" spans="1:4" x14ac:dyDescent="0.25">
      <c r="A500" s="252" t="s">
        <v>1488</v>
      </c>
      <c r="B500" s="252"/>
      <c r="C500" s="252" t="s">
        <v>1331</v>
      </c>
      <c r="D500" s="253"/>
    </row>
    <row r="501" spans="1:4" x14ac:dyDescent="0.25">
      <c r="A501" s="252" t="s">
        <v>1489</v>
      </c>
      <c r="B501" s="252"/>
      <c r="C501" s="252" t="s">
        <v>1490</v>
      </c>
      <c r="D501" s="260" t="s">
        <v>944</v>
      </c>
    </row>
    <row r="502" spans="1:4" ht="26.4" x14ac:dyDescent="0.25">
      <c r="A502" s="252" t="s">
        <v>1491</v>
      </c>
      <c r="B502" s="252"/>
      <c r="C502" s="252" t="s">
        <v>1492</v>
      </c>
      <c r="D502" s="253"/>
    </row>
    <row r="503" spans="1:4" x14ac:dyDescent="0.25">
      <c r="A503" s="252" t="s">
        <v>1491</v>
      </c>
      <c r="B503" s="252"/>
      <c r="C503" s="252" t="s">
        <v>1493</v>
      </c>
      <c r="D503" s="253"/>
    </row>
    <row r="504" spans="1:4" x14ac:dyDescent="0.25">
      <c r="A504" s="252" t="s">
        <v>1494</v>
      </c>
      <c r="B504" s="252"/>
      <c r="C504" s="252" t="s">
        <v>1495</v>
      </c>
      <c r="D504" s="253" t="s">
        <v>891</v>
      </c>
    </row>
    <row r="505" spans="1:4" x14ac:dyDescent="0.25">
      <c r="A505" s="252" t="s">
        <v>1496</v>
      </c>
      <c r="B505" s="252"/>
      <c r="C505" s="252" t="s">
        <v>1497</v>
      </c>
      <c r="D505" s="253"/>
    </row>
    <row r="506" spans="1:4" x14ac:dyDescent="0.25">
      <c r="A506" s="252" t="s">
        <v>1498</v>
      </c>
      <c r="B506" s="252"/>
      <c r="C506" s="252" t="s">
        <v>1499</v>
      </c>
      <c r="D506" s="253"/>
    </row>
    <row r="507" spans="1:4" x14ac:dyDescent="0.25">
      <c r="A507" s="252" t="s">
        <v>1500</v>
      </c>
      <c r="B507" s="252"/>
      <c r="C507" s="252" t="s">
        <v>1501</v>
      </c>
      <c r="D507" s="253"/>
    </row>
    <row r="508" spans="1:4" x14ac:dyDescent="0.25">
      <c r="A508" s="252" t="s">
        <v>1502</v>
      </c>
      <c r="B508" s="252"/>
      <c r="C508" s="252" t="s">
        <v>1503</v>
      </c>
      <c r="D508" s="253"/>
    </row>
    <row r="509" spans="1:4" x14ac:dyDescent="0.25">
      <c r="A509" s="252" t="s">
        <v>1502</v>
      </c>
      <c r="B509" s="252"/>
      <c r="C509" s="252" t="s">
        <v>1486</v>
      </c>
      <c r="D509" s="253" t="s">
        <v>1487</v>
      </c>
    </row>
    <row r="510" spans="1:4" x14ac:dyDescent="0.25">
      <c r="A510" s="252" t="s">
        <v>1504</v>
      </c>
      <c r="B510" s="252"/>
      <c r="C510" s="252" t="s">
        <v>1505</v>
      </c>
      <c r="D510" s="253"/>
    </row>
    <row r="511" spans="1:4" ht="26.4" x14ac:dyDescent="0.25">
      <c r="A511" s="252" t="s">
        <v>1506</v>
      </c>
      <c r="B511" s="252"/>
      <c r="C511" s="252" t="s">
        <v>1507</v>
      </c>
      <c r="D511" s="253"/>
    </row>
    <row r="512" spans="1:4" x14ac:dyDescent="0.25">
      <c r="A512" s="252" t="s">
        <v>1508</v>
      </c>
      <c r="B512" s="252"/>
      <c r="C512" s="252" t="s">
        <v>1509</v>
      </c>
      <c r="D512" s="253"/>
    </row>
    <row r="513" spans="1:4" x14ac:dyDescent="0.25">
      <c r="A513" s="252" t="s">
        <v>1510</v>
      </c>
      <c r="B513" s="252"/>
      <c r="C513" s="252" t="s">
        <v>1511</v>
      </c>
      <c r="D513" s="253"/>
    </row>
    <row r="514" spans="1:4" x14ac:dyDescent="0.25">
      <c r="A514" s="252" t="s">
        <v>1512</v>
      </c>
      <c r="B514" s="252"/>
      <c r="C514" s="252" t="s">
        <v>1513</v>
      </c>
      <c r="D514" s="253"/>
    </row>
    <row r="515" spans="1:4" x14ac:dyDescent="0.25">
      <c r="A515" s="252" t="s">
        <v>1514</v>
      </c>
      <c r="B515" s="252"/>
      <c r="C515" s="252" t="s">
        <v>1515</v>
      </c>
      <c r="D515" s="253"/>
    </row>
    <row r="516" spans="1:4" x14ac:dyDescent="0.25">
      <c r="A516" s="252" t="s">
        <v>1516</v>
      </c>
      <c r="B516" s="252"/>
      <c r="C516" s="252" t="s">
        <v>1517</v>
      </c>
      <c r="D516" s="253"/>
    </row>
    <row r="517" spans="1:4" x14ac:dyDescent="0.25">
      <c r="A517" s="252" t="s">
        <v>1518</v>
      </c>
      <c r="B517" s="252"/>
      <c r="C517" s="252" t="s">
        <v>1519</v>
      </c>
      <c r="D517" s="253"/>
    </row>
    <row r="518" spans="1:4" x14ac:dyDescent="0.25">
      <c r="A518" s="252" t="s">
        <v>1520</v>
      </c>
      <c r="B518" s="252"/>
      <c r="C518" s="252" t="s">
        <v>1521</v>
      </c>
      <c r="D518" s="253" t="s">
        <v>1487</v>
      </c>
    </row>
    <row r="519" spans="1:4" x14ac:dyDescent="0.25">
      <c r="A519" s="252" t="s">
        <v>1522</v>
      </c>
      <c r="B519" s="252"/>
      <c r="C519" s="252" t="s">
        <v>1523</v>
      </c>
      <c r="D519" s="253"/>
    </row>
    <row r="520" spans="1:4" x14ac:dyDescent="0.25">
      <c r="A520" s="252" t="s">
        <v>1524</v>
      </c>
      <c r="B520" s="252"/>
      <c r="C520" s="252" t="s">
        <v>1525</v>
      </c>
      <c r="D520" s="253"/>
    </row>
    <row r="521" spans="1:4" x14ac:dyDescent="0.25">
      <c r="A521" s="252" t="s">
        <v>1526</v>
      </c>
      <c r="B521" s="252"/>
      <c r="C521" s="252" t="s">
        <v>1527</v>
      </c>
      <c r="D521" s="253"/>
    </row>
    <row r="522" spans="1:4" x14ac:dyDescent="0.25">
      <c r="A522" s="252" t="s">
        <v>1528</v>
      </c>
      <c r="B522" s="252"/>
      <c r="C522" s="252" t="s">
        <v>707</v>
      </c>
      <c r="D522" s="253"/>
    </row>
    <row r="523" spans="1:4" x14ac:dyDescent="0.25">
      <c r="A523" s="252" t="s">
        <v>1529</v>
      </c>
      <c r="B523" s="252"/>
      <c r="C523" s="252" t="s">
        <v>1530</v>
      </c>
      <c r="D523" s="253"/>
    </row>
    <row r="524" spans="1:4" x14ac:dyDescent="0.25">
      <c r="A524" s="252" t="s">
        <v>1531</v>
      </c>
      <c r="B524" s="252"/>
      <c r="C524" s="252" t="s">
        <v>1532</v>
      </c>
      <c r="D524" s="253"/>
    </row>
    <row r="525" spans="1:4" x14ac:dyDescent="0.25">
      <c r="A525" s="252" t="s">
        <v>1533</v>
      </c>
      <c r="B525" s="252"/>
      <c r="C525" s="252" t="s">
        <v>1534</v>
      </c>
      <c r="D525" s="253"/>
    </row>
    <row r="526" spans="1:4" ht="26.4" x14ac:dyDescent="0.25">
      <c r="A526" s="252" t="s">
        <v>1535</v>
      </c>
      <c r="B526" s="252"/>
      <c r="C526" s="252" t="s">
        <v>1536</v>
      </c>
      <c r="D526" s="253"/>
    </row>
    <row r="527" spans="1:4" x14ac:dyDescent="0.25">
      <c r="A527" s="252" t="s">
        <v>1537</v>
      </c>
      <c r="B527" s="252"/>
      <c r="C527" s="252" t="s">
        <v>1538</v>
      </c>
      <c r="D527" s="253" t="s">
        <v>837</v>
      </c>
    </row>
    <row r="528" spans="1:4" x14ac:dyDescent="0.25">
      <c r="A528" s="252" t="s">
        <v>1539</v>
      </c>
      <c r="B528" s="252"/>
      <c r="C528" s="252" t="s">
        <v>1540</v>
      </c>
      <c r="D528" s="253"/>
    </row>
    <row r="529" spans="1:4" x14ac:dyDescent="0.25">
      <c r="A529" s="252" t="s">
        <v>1541</v>
      </c>
      <c r="B529" s="252"/>
      <c r="C529" s="252" t="s">
        <v>1542</v>
      </c>
      <c r="D529" s="253"/>
    </row>
    <row r="530" spans="1:4" x14ac:dyDescent="0.25">
      <c r="A530" s="252" t="s">
        <v>1543</v>
      </c>
      <c r="B530" s="252"/>
      <c r="C530" s="252" t="s">
        <v>1544</v>
      </c>
      <c r="D530" s="253"/>
    </row>
    <row r="531" spans="1:4" x14ac:dyDescent="0.25">
      <c r="A531" s="252" t="s">
        <v>1545</v>
      </c>
      <c r="B531" s="252"/>
      <c r="C531" s="252" t="s">
        <v>1546</v>
      </c>
      <c r="D531" s="253"/>
    </row>
    <row r="532" spans="1:4" x14ac:dyDescent="0.25">
      <c r="A532" s="252" t="s">
        <v>1547</v>
      </c>
      <c r="B532" s="252"/>
      <c r="C532" s="252" t="s">
        <v>917</v>
      </c>
      <c r="D532" s="253"/>
    </row>
    <row r="533" spans="1:4" x14ac:dyDescent="0.25">
      <c r="A533" s="252" t="s">
        <v>1548</v>
      </c>
      <c r="B533" s="252"/>
      <c r="C533" s="252" t="s">
        <v>1549</v>
      </c>
      <c r="D533" s="253"/>
    </row>
    <row r="534" spans="1:4" x14ac:dyDescent="0.25">
      <c r="A534" s="252" t="s">
        <v>1550</v>
      </c>
      <c r="B534" s="252"/>
      <c r="C534" s="252" t="s">
        <v>1551</v>
      </c>
      <c r="D534" s="253"/>
    </row>
    <row r="535" spans="1:4" x14ac:dyDescent="0.25">
      <c r="A535" s="252" t="s">
        <v>1552</v>
      </c>
      <c r="B535" s="252"/>
      <c r="C535" s="252" t="s">
        <v>1511</v>
      </c>
      <c r="D535" s="253"/>
    </row>
    <row r="536" spans="1:4" ht="26.4" x14ac:dyDescent="0.25">
      <c r="A536" s="252" t="s">
        <v>1553</v>
      </c>
      <c r="B536" s="252"/>
      <c r="C536" s="252" t="s">
        <v>1554</v>
      </c>
      <c r="D536" s="253"/>
    </row>
    <row r="537" spans="1:4" x14ac:dyDescent="0.25">
      <c r="A537" s="252" t="s">
        <v>1555</v>
      </c>
      <c r="B537" s="252"/>
      <c r="C537" s="252" t="s">
        <v>1036</v>
      </c>
      <c r="D537" s="253"/>
    </row>
    <row r="538" spans="1:4" x14ac:dyDescent="0.25">
      <c r="A538" s="252" t="s">
        <v>1556</v>
      </c>
      <c r="B538" s="252"/>
      <c r="C538" s="252" t="s">
        <v>1557</v>
      </c>
      <c r="D538" s="253"/>
    </row>
    <row r="539" spans="1:4" x14ac:dyDescent="0.25">
      <c r="A539" s="255" t="s">
        <v>1558</v>
      </c>
      <c r="B539" s="254"/>
      <c r="C539" s="255" t="s">
        <v>1559</v>
      </c>
      <c r="D539" s="253" t="s">
        <v>1487</v>
      </c>
    </row>
    <row r="540" spans="1:4" x14ac:dyDescent="0.25">
      <c r="A540" s="252" t="s">
        <v>1560</v>
      </c>
      <c r="B540" s="252"/>
      <c r="C540" s="252" t="s">
        <v>1559</v>
      </c>
      <c r="D540" s="253" t="s">
        <v>1487</v>
      </c>
    </row>
    <row r="541" spans="1:4" x14ac:dyDescent="0.25">
      <c r="A541" s="255" t="s">
        <v>1561</v>
      </c>
      <c r="B541" s="254"/>
      <c r="C541" s="255" t="s">
        <v>1562</v>
      </c>
      <c r="D541" s="253" t="s">
        <v>1487</v>
      </c>
    </row>
    <row r="542" spans="1:4" x14ac:dyDescent="0.25">
      <c r="A542" s="252" t="s">
        <v>1563</v>
      </c>
      <c r="B542" s="252"/>
      <c r="C542" s="252" t="s">
        <v>1564</v>
      </c>
      <c r="D542" s="253"/>
    </row>
    <row r="543" spans="1:4" x14ac:dyDescent="0.25">
      <c r="A543" s="252" t="s">
        <v>1565</v>
      </c>
      <c r="B543" s="252"/>
      <c r="C543" s="252" t="s">
        <v>1566</v>
      </c>
      <c r="D543" s="253"/>
    </row>
    <row r="544" spans="1:4" x14ac:dyDescent="0.25">
      <c r="A544" s="252" t="s">
        <v>1567</v>
      </c>
      <c r="B544" s="252"/>
      <c r="C544" s="252" t="s">
        <v>1568</v>
      </c>
      <c r="D544" s="253"/>
    </row>
    <row r="545" spans="1:4" x14ac:dyDescent="0.25">
      <c r="A545" s="252" t="s">
        <v>1569</v>
      </c>
      <c r="B545" s="252"/>
      <c r="C545" s="252" t="s">
        <v>1570</v>
      </c>
      <c r="D545" s="253"/>
    </row>
    <row r="546" spans="1:4" x14ac:dyDescent="0.25">
      <c r="A546" s="252" t="s">
        <v>1571</v>
      </c>
      <c r="B546" s="252"/>
      <c r="C546" s="252" t="s">
        <v>643</v>
      </c>
      <c r="D546" s="253"/>
    </row>
    <row r="547" spans="1:4" x14ac:dyDescent="0.25">
      <c r="A547" s="252" t="s">
        <v>1572</v>
      </c>
      <c r="B547" s="252"/>
      <c r="C547" s="252" t="s">
        <v>1573</v>
      </c>
      <c r="D547" s="253"/>
    </row>
    <row r="548" spans="1:4" ht="26.4" x14ac:dyDescent="0.25">
      <c r="A548" s="252" t="s">
        <v>1574</v>
      </c>
      <c r="B548" s="252"/>
      <c r="C548" s="252" t="s">
        <v>1554</v>
      </c>
      <c r="D548" s="253"/>
    </row>
    <row r="549" spans="1:4" x14ac:dyDescent="0.25">
      <c r="A549" s="252" t="s">
        <v>1575</v>
      </c>
      <c r="B549" s="252"/>
      <c r="C549" s="252" t="s">
        <v>1576</v>
      </c>
      <c r="D549" s="260" t="s">
        <v>944</v>
      </c>
    </row>
    <row r="550" spans="1:4" x14ac:dyDescent="0.25">
      <c r="A550" s="252" t="s">
        <v>1577</v>
      </c>
      <c r="B550" s="252"/>
      <c r="C550" s="252" t="s">
        <v>1578</v>
      </c>
      <c r="D550" s="253"/>
    </row>
    <row r="551" spans="1:4" x14ac:dyDescent="0.25">
      <c r="A551" s="255" t="s">
        <v>1579</v>
      </c>
      <c r="B551" s="254"/>
      <c r="C551" s="255" t="s">
        <v>1580</v>
      </c>
      <c r="D551" s="253"/>
    </row>
    <row r="552" spans="1:4" x14ac:dyDescent="0.25">
      <c r="A552" s="252" t="s">
        <v>1581</v>
      </c>
      <c r="B552" s="252"/>
      <c r="C552" s="252" t="s">
        <v>1582</v>
      </c>
      <c r="D552" s="253"/>
    </row>
    <row r="553" spans="1:4" x14ac:dyDescent="0.25">
      <c r="A553" s="252" t="s">
        <v>1583</v>
      </c>
      <c r="B553" s="252"/>
      <c r="C553" s="252" t="s">
        <v>1584</v>
      </c>
      <c r="D553" s="253"/>
    </row>
    <row r="554" spans="1:4" x14ac:dyDescent="0.25">
      <c r="A554" s="252" t="s">
        <v>1585</v>
      </c>
      <c r="B554" s="252"/>
      <c r="C554" s="252" t="s">
        <v>1586</v>
      </c>
      <c r="D554" s="253"/>
    </row>
    <row r="555" spans="1:4" x14ac:dyDescent="0.25">
      <c r="A555" s="252" t="s">
        <v>1587</v>
      </c>
      <c r="B555" s="252"/>
      <c r="C555" s="252" t="s">
        <v>1588</v>
      </c>
      <c r="D555" s="253"/>
    </row>
    <row r="556" spans="1:4" ht="26.4" x14ac:dyDescent="0.25">
      <c r="A556" s="252" t="s">
        <v>1589</v>
      </c>
      <c r="B556" s="252"/>
      <c r="C556" s="252" t="s">
        <v>1590</v>
      </c>
      <c r="D556" s="253"/>
    </row>
    <row r="557" spans="1:4" x14ac:dyDescent="0.25">
      <c r="A557" s="252" t="s">
        <v>1591</v>
      </c>
      <c r="B557" s="252"/>
      <c r="C557" s="252" t="s">
        <v>1592</v>
      </c>
      <c r="D557" s="253"/>
    </row>
    <row r="558" spans="1:4" x14ac:dyDescent="0.25">
      <c r="A558" s="252" t="s">
        <v>1593</v>
      </c>
      <c r="B558" s="252"/>
      <c r="C558" s="252" t="s">
        <v>677</v>
      </c>
      <c r="D558" s="253"/>
    </row>
    <row r="559" spans="1:4" x14ac:dyDescent="0.25">
      <c r="A559" s="252" t="s">
        <v>1594</v>
      </c>
      <c r="B559" s="252"/>
      <c r="C559" s="252" t="s">
        <v>1595</v>
      </c>
      <c r="D559" s="253" t="s">
        <v>1022</v>
      </c>
    </row>
    <row r="560" spans="1:4" x14ac:dyDescent="0.25">
      <c r="A560" s="252" t="s">
        <v>1596</v>
      </c>
      <c r="B560" s="252"/>
      <c r="C560" s="252" t="s">
        <v>760</v>
      </c>
      <c r="D560" s="253"/>
    </row>
    <row r="561" spans="1:4" x14ac:dyDescent="0.25">
      <c r="A561" s="255" t="s">
        <v>1597</v>
      </c>
      <c r="B561" s="254"/>
      <c r="C561" s="255" t="s">
        <v>1598</v>
      </c>
      <c r="D561" s="253"/>
    </row>
    <row r="562" spans="1:4" x14ac:dyDescent="0.25">
      <c r="A562" s="255" t="s">
        <v>1599</v>
      </c>
      <c r="B562" s="254"/>
      <c r="C562" s="255" t="s">
        <v>1600</v>
      </c>
      <c r="D562" s="253"/>
    </row>
    <row r="563" spans="1:4" x14ac:dyDescent="0.25">
      <c r="A563" s="252" t="s">
        <v>1601</v>
      </c>
      <c r="B563" s="252"/>
      <c r="C563" s="252" t="s">
        <v>1602</v>
      </c>
      <c r="D563" s="253"/>
    </row>
    <row r="564" spans="1:4" ht="26.4" x14ac:dyDescent="0.25">
      <c r="A564" s="252" t="s">
        <v>1603</v>
      </c>
      <c r="B564" s="252"/>
      <c r="C564" s="252" t="s">
        <v>1604</v>
      </c>
      <c r="D564" s="253"/>
    </row>
    <row r="565" spans="1:4" x14ac:dyDescent="0.25">
      <c r="A565" s="252" t="s">
        <v>1605</v>
      </c>
      <c r="B565" s="252"/>
      <c r="C565" s="252" t="s">
        <v>1606</v>
      </c>
      <c r="D565" s="253"/>
    </row>
    <row r="566" spans="1:4" x14ac:dyDescent="0.25">
      <c r="A566" s="252" t="s">
        <v>1607</v>
      </c>
      <c r="B566" s="252"/>
      <c r="C566" s="252" t="s">
        <v>1608</v>
      </c>
      <c r="D566" s="253"/>
    </row>
    <row r="567" spans="1:4" x14ac:dyDescent="0.25">
      <c r="A567" s="252" t="s">
        <v>1609</v>
      </c>
      <c r="B567" s="252"/>
      <c r="C567" s="252" t="s">
        <v>1392</v>
      </c>
      <c r="D567" s="253"/>
    </row>
    <row r="568" spans="1:4" x14ac:dyDescent="0.25">
      <c r="A568" s="252" t="s">
        <v>1610</v>
      </c>
      <c r="B568" s="252"/>
      <c r="C568" s="252" t="s">
        <v>1542</v>
      </c>
      <c r="D568" s="253"/>
    </row>
    <row r="569" spans="1:4" x14ac:dyDescent="0.25">
      <c r="A569" s="252" t="s">
        <v>1611</v>
      </c>
      <c r="B569" s="252"/>
      <c r="C569" s="252" t="s">
        <v>1612</v>
      </c>
      <c r="D569" s="253"/>
    </row>
    <row r="570" spans="1:4" x14ac:dyDescent="0.25">
      <c r="A570" s="252" t="s">
        <v>1613</v>
      </c>
      <c r="B570" s="252"/>
      <c r="C570" s="252" t="s">
        <v>1614</v>
      </c>
      <c r="D570" s="253"/>
    </row>
    <row r="571" spans="1:4" x14ac:dyDescent="0.25">
      <c r="A571" s="252" t="s">
        <v>1615</v>
      </c>
      <c r="B571" s="252"/>
      <c r="C571" s="252" t="s">
        <v>1459</v>
      </c>
      <c r="D571" s="253"/>
    </row>
    <row r="572" spans="1:4" x14ac:dyDescent="0.25">
      <c r="A572" s="252" t="s">
        <v>1616</v>
      </c>
      <c r="B572" s="252"/>
      <c r="C572" s="252" t="s">
        <v>1617</v>
      </c>
      <c r="D572" s="253" t="s">
        <v>714</v>
      </c>
    </row>
    <row r="573" spans="1:4" x14ac:dyDescent="0.25">
      <c r="A573" s="252" t="s">
        <v>1618</v>
      </c>
      <c r="B573" s="252"/>
      <c r="C573" s="252" t="s">
        <v>1142</v>
      </c>
      <c r="D573" s="253"/>
    </row>
    <row r="574" spans="1:4" x14ac:dyDescent="0.25">
      <c r="A574" s="252" t="s">
        <v>1619</v>
      </c>
      <c r="B574" s="252"/>
      <c r="C574" s="252" t="s">
        <v>1620</v>
      </c>
      <c r="D574" s="253"/>
    </row>
    <row r="575" spans="1:4" x14ac:dyDescent="0.25">
      <c r="A575" s="252" t="s">
        <v>1621</v>
      </c>
      <c r="B575" s="252"/>
      <c r="C575" s="252" t="s">
        <v>1622</v>
      </c>
      <c r="D575" s="253"/>
    </row>
    <row r="576" spans="1:4" x14ac:dyDescent="0.25">
      <c r="A576" s="252" t="s">
        <v>1623</v>
      </c>
      <c r="B576" s="252"/>
      <c r="C576" s="252" t="s">
        <v>1624</v>
      </c>
      <c r="D576" s="253"/>
    </row>
    <row r="577" spans="1:4" x14ac:dyDescent="0.25">
      <c r="A577" s="252" t="s">
        <v>1625</v>
      </c>
      <c r="B577" s="252"/>
      <c r="C577" s="252" t="s">
        <v>1626</v>
      </c>
      <c r="D577" s="253"/>
    </row>
    <row r="578" spans="1:4" x14ac:dyDescent="0.25">
      <c r="A578" s="252" t="s">
        <v>1627</v>
      </c>
      <c r="B578" s="252"/>
      <c r="C578" s="252" t="s">
        <v>1628</v>
      </c>
      <c r="D578" s="253"/>
    </row>
    <row r="579" spans="1:4" x14ac:dyDescent="0.25">
      <c r="A579" s="252" t="s">
        <v>1629</v>
      </c>
      <c r="B579" s="252"/>
      <c r="C579" s="252" t="s">
        <v>1630</v>
      </c>
      <c r="D579" s="253"/>
    </row>
    <row r="580" spans="1:4" x14ac:dyDescent="0.25">
      <c r="A580" s="252" t="s">
        <v>1631</v>
      </c>
      <c r="B580" s="252"/>
      <c r="C580" s="252" t="s">
        <v>1632</v>
      </c>
      <c r="D580" s="253"/>
    </row>
    <row r="581" spans="1:4" x14ac:dyDescent="0.25">
      <c r="A581" s="252" t="s">
        <v>1633</v>
      </c>
      <c r="B581" s="252"/>
      <c r="C581" s="252" t="s">
        <v>1634</v>
      </c>
      <c r="D581" s="253"/>
    </row>
    <row r="582" spans="1:4" x14ac:dyDescent="0.25">
      <c r="A582" s="252" t="s">
        <v>1635</v>
      </c>
      <c r="B582" s="252"/>
      <c r="C582" s="252" t="s">
        <v>1636</v>
      </c>
      <c r="D582" s="253"/>
    </row>
    <row r="583" spans="1:4" x14ac:dyDescent="0.25">
      <c r="A583" s="252" t="s">
        <v>1637</v>
      </c>
      <c r="B583" s="252"/>
      <c r="C583" s="252" t="s">
        <v>1638</v>
      </c>
      <c r="D583" s="253"/>
    </row>
    <row r="584" spans="1:4" x14ac:dyDescent="0.25">
      <c r="A584" s="252" t="s">
        <v>1639</v>
      </c>
      <c r="B584" s="252"/>
      <c r="C584" s="252" t="s">
        <v>1636</v>
      </c>
      <c r="D584" s="253"/>
    </row>
    <row r="585" spans="1:4" x14ac:dyDescent="0.25">
      <c r="A585" s="252" t="s">
        <v>1640</v>
      </c>
      <c r="B585" s="252"/>
      <c r="C585" s="252" t="s">
        <v>1638</v>
      </c>
      <c r="D585" s="253"/>
    </row>
    <row r="586" spans="1:4" x14ac:dyDescent="0.25">
      <c r="A586" s="252" t="s">
        <v>1641</v>
      </c>
      <c r="B586" s="252"/>
      <c r="C586" s="252" t="s">
        <v>1642</v>
      </c>
      <c r="D586" s="253"/>
    </row>
    <row r="587" spans="1:4" x14ac:dyDescent="0.25">
      <c r="A587" s="252" t="s">
        <v>1643</v>
      </c>
      <c r="B587" s="252"/>
      <c r="C587" s="252" t="s">
        <v>1642</v>
      </c>
      <c r="D587" s="253"/>
    </row>
    <row r="588" spans="1:4" x14ac:dyDescent="0.25">
      <c r="A588" s="252" t="s">
        <v>1644</v>
      </c>
      <c r="B588" s="252"/>
      <c r="C588" s="252" t="s">
        <v>1452</v>
      </c>
      <c r="D588" s="253" t="s">
        <v>746</v>
      </c>
    </row>
    <row r="589" spans="1:4" x14ac:dyDescent="0.25">
      <c r="A589" s="252" t="s">
        <v>1645</v>
      </c>
      <c r="B589" s="252"/>
      <c r="C589" s="252" t="s">
        <v>1646</v>
      </c>
      <c r="D589" s="253"/>
    </row>
    <row r="590" spans="1:4" x14ac:dyDescent="0.25">
      <c r="A590" s="252" t="s">
        <v>1647</v>
      </c>
      <c r="B590" s="252"/>
      <c r="C590" s="259" t="s">
        <v>1648</v>
      </c>
      <c r="D590" s="253"/>
    </row>
    <row r="591" spans="1:4" x14ac:dyDescent="0.25">
      <c r="A591" s="252" t="s">
        <v>1649</v>
      </c>
      <c r="B591" s="252"/>
      <c r="C591" s="259" t="s">
        <v>1650</v>
      </c>
      <c r="D591" s="253"/>
    </row>
    <row r="592" spans="1:4" x14ac:dyDescent="0.25">
      <c r="A592" s="252" t="s">
        <v>1651</v>
      </c>
      <c r="B592" s="252"/>
      <c r="C592" s="259" t="s">
        <v>1652</v>
      </c>
      <c r="D592" s="253"/>
    </row>
    <row r="593" spans="1:4" x14ac:dyDescent="0.25">
      <c r="A593" s="252" t="s">
        <v>1653</v>
      </c>
      <c r="B593" s="252"/>
      <c r="C593" s="259" t="s">
        <v>1654</v>
      </c>
      <c r="D593" s="253"/>
    </row>
    <row r="594" spans="1:4" x14ac:dyDescent="0.25">
      <c r="A594" s="252" t="s">
        <v>1655</v>
      </c>
      <c r="B594" s="252"/>
      <c r="C594" s="252" t="s">
        <v>1656</v>
      </c>
      <c r="D594" s="253"/>
    </row>
    <row r="595" spans="1:4" x14ac:dyDescent="0.25">
      <c r="A595" s="252" t="s">
        <v>1657</v>
      </c>
      <c r="B595" s="252"/>
      <c r="C595" s="252" t="s">
        <v>1658</v>
      </c>
      <c r="D595" s="253"/>
    </row>
    <row r="596" spans="1:4" x14ac:dyDescent="0.25">
      <c r="A596" s="252" t="s">
        <v>1659</v>
      </c>
      <c r="B596" s="252"/>
      <c r="C596" s="252" t="s">
        <v>1660</v>
      </c>
      <c r="D596" s="253"/>
    </row>
    <row r="597" spans="1:4" x14ac:dyDescent="0.25">
      <c r="A597" s="252" t="s">
        <v>1661</v>
      </c>
      <c r="B597" s="252"/>
      <c r="C597" s="259" t="s">
        <v>1662</v>
      </c>
      <c r="D597" s="253"/>
    </row>
    <row r="598" spans="1:4" x14ac:dyDescent="0.25">
      <c r="A598" s="252" t="s">
        <v>1663</v>
      </c>
      <c r="B598" s="252"/>
      <c r="C598" s="252" t="s">
        <v>1247</v>
      </c>
      <c r="D598" s="253"/>
    </row>
    <row r="599" spans="1:4" x14ac:dyDescent="0.25">
      <c r="A599" s="252" t="s">
        <v>1664</v>
      </c>
      <c r="B599" s="252"/>
      <c r="C599" s="252" t="s">
        <v>1047</v>
      </c>
      <c r="D599" s="253"/>
    </row>
    <row r="600" spans="1:4" x14ac:dyDescent="0.25">
      <c r="A600" s="252" t="s">
        <v>1665</v>
      </c>
      <c r="B600" s="252"/>
      <c r="C600" s="252" t="s">
        <v>1666</v>
      </c>
      <c r="D600" s="253"/>
    </row>
    <row r="601" spans="1:4" x14ac:dyDescent="0.25">
      <c r="A601" s="252" t="s">
        <v>1667</v>
      </c>
      <c r="B601" s="252"/>
      <c r="C601" s="252" t="s">
        <v>1668</v>
      </c>
      <c r="D601" s="253"/>
    </row>
    <row r="602" spans="1:4" x14ac:dyDescent="0.25">
      <c r="A602" s="252" t="s">
        <v>1669</v>
      </c>
      <c r="B602" s="252"/>
      <c r="C602" s="252" t="s">
        <v>653</v>
      </c>
      <c r="D602" s="253"/>
    </row>
    <row r="603" spans="1:4" x14ac:dyDescent="0.25">
      <c r="A603" s="252" t="s">
        <v>1670</v>
      </c>
      <c r="B603" s="252"/>
      <c r="C603" s="252" t="s">
        <v>653</v>
      </c>
      <c r="D603" s="253"/>
    </row>
    <row r="604" spans="1:4" x14ac:dyDescent="0.25">
      <c r="A604" s="252" t="s">
        <v>1671</v>
      </c>
      <c r="B604" s="252"/>
      <c r="C604" s="252" t="s">
        <v>1672</v>
      </c>
      <c r="D604" s="253"/>
    </row>
    <row r="605" spans="1:4" x14ac:dyDescent="0.25">
      <c r="A605" s="252" t="s">
        <v>1673</v>
      </c>
      <c r="B605" s="252"/>
      <c r="C605" s="252" t="s">
        <v>1674</v>
      </c>
      <c r="D605" s="253"/>
    </row>
    <row r="606" spans="1:4" x14ac:dyDescent="0.25">
      <c r="A606" s="252" t="s">
        <v>1675</v>
      </c>
      <c r="B606" s="252"/>
      <c r="C606" s="261" t="s">
        <v>1676</v>
      </c>
      <c r="D606" s="253"/>
    </row>
    <row r="607" spans="1:4" x14ac:dyDescent="0.25">
      <c r="A607" s="252" t="s">
        <v>1677</v>
      </c>
      <c r="B607" s="252"/>
      <c r="C607" s="252" t="s">
        <v>1678</v>
      </c>
      <c r="D607" s="253"/>
    </row>
    <row r="608" spans="1:4" x14ac:dyDescent="0.25">
      <c r="A608" s="252" t="s">
        <v>1679</v>
      </c>
      <c r="B608" s="252"/>
      <c r="C608" s="252" t="s">
        <v>1680</v>
      </c>
      <c r="D608" s="253"/>
    </row>
    <row r="609" spans="1:4" x14ac:dyDescent="0.25">
      <c r="A609" s="252" t="s">
        <v>1681</v>
      </c>
      <c r="B609" s="252"/>
      <c r="C609" s="252" t="s">
        <v>1331</v>
      </c>
      <c r="D609" s="253"/>
    </row>
    <row r="610" spans="1:4" x14ac:dyDescent="0.25">
      <c r="A610" s="252" t="s">
        <v>1682</v>
      </c>
      <c r="B610" s="252"/>
      <c r="C610" s="252" t="s">
        <v>1683</v>
      </c>
      <c r="D610" s="253"/>
    </row>
    <row r="611" spans="1:4" x14ac:dyDescent="0.25">
      <c r="A611" s="252" t="s">
        <v>1684</v>
      </c>
      <c r="B611" s="252"/>
      <c r="C611" s="252" t="s">
        <v>1685</v>
      </c>
      <c r="D611" s="253"/>
    </row>
    <row r="612" spans="1:4" x14ac:dyDescent="0.25">
      <c r="A612" s="252" t="s">
        <v>1686</v>
      </c>
      <c r="B612" s="252"/>
      <c r="C612" s="252" t="s">
        <v>1687</v>
      </c>
      <c r="D612" s="253"/>
    </row>
    <row r="613" spans="1:4" x14ac:dyDescent="0.25">
      <c r="A613" s="252" t="s">
        <v>1688</v>
      </c>
      <c r="B613" s="252"/>
      <c r="C613" s="252" t="s">
        <v>1586</v>
      </c>
      <c r="D613" s="253"/>
    </row>
    <row r="614" spans="1:4" x14ac:dyDescent="0.25">
      <c r="A614" s="252" t="s">
        <v>1689</v>
      </c>
      <c r="B614" s="252"/>
      <c r="C614" s="252" t="s">
        <v>1452</v>
      </c>
      <c r="D614" s="253" t="s">
        <v>746</v>
      </c>
    </row>
    <row r="615" spans="1:4" x14ac:dyDescent="0.25">
      <c r="A615" s="252" t="s">
        <v>1690</v>
      </c>
      <c r="B615" s="252"/>
      <c r="C615" s="252" t="s">
        <v>1691</v>
      </c>
      <c r="D615" s="253"/>
    </row>
    <row r="616" spans="1:4" x14ac:dyDescent="0.25">
      <c r="A616" s="252" t="s">
        <v>1692</v>
      </c>
      <c r="B616" s="252"/>
      <c r="C616" s="252" t="s">
        <v>558</v>
      </c>
      <c r="D616" s="253"/>
    </row>
    <row r="617" spans="1:4" x14ac:dyDescent="0.25">
      <c r="A617" s="252" t="s">
        <v>1693</v>
      </c>
      <c r="B617" s="252"/>
      <c r="C617" s="252" t="s">
        <v>560</v>
      </c>
      <c r="D617" s="253"/>
    </row>
    <row r="618" spans="1:4" x14ac:dyDescent="0.25">
      <c r="A618" s="252" t="s">
        <v>1694</v>
      </c>
      <c r="B618" s="252"/>
      <c r="C618" s="252" t="s">
        <v>1695</v>
      </c>
      <c r="D618" s="253" t="s">
        <v>1696</v>
      </c>
    </row>
    <row r="619" spans="1:4" ht="26.4" x14ac:dyDescent="0.25">
      <c r="A619" s="252" t="s">
        <v>1697</v>
      </c>
      <c r="B619" s="252"/>
      <c r="C619" s="252" t="s">
        <v>1698</v>
      </c>
      <c r="D619" s="253"/>
    </row>
    <row r="620" spans="1:4" x14ac:dyDescent="0.25">
      <c r="A620" s="255" t="s">
        <v>1699</v>
      </c>
      <c r="B620" s="254"/>
      <c r="C620" s="255" t="s">
        <v>1700</v>
      </c>
      <c r="D620" s="253" t="s">
        <v>746</v>
      </c>
    </row>
    <row r="621" spans="1:4" x14ac:dyDescent="0.25">
      <c r="A621" s="252" t="s">
        <v>1701</v>
      </c>
      <c r="B621" s="252"/>
      <c r="C621" s="252" t="s">
        <v>1702</v>
      </c>
      <c r="D621" s="253"/>
    </row>
    <row r="622" spans="1:4" x14ac:dyDescent="0.25">
      <c r="A622" s="252" t="s">
        <v>1703</v>
      </c>
      <c r="B622" s="252"/>
      <c r="C622" s="252" t="s">
        <v>1704</v>
      </c>
      <c r="D622" s="253"/>
    </row>
    <row r="623" spans="1:4" x14ac:dyDescent="0.25">
      <c r="A623" s="252" t="s">
        <v>1705</v>
      </c>
      <c r="B623" s="252"/>
      <c r="C623" s="252" t="s">
        <v>1706</v>
      </c>
      <c r="D623" s="253"/>
    </row>
    <row r="624" spans="1:4" x14ac:dyDescent="0.25">
      <c r="A624" s="252" t="s">
        <v>1707</v>
      </c>
      <c r="B624" s="252"/>
      <c r="C624" s="252" t="s">
        <v>1452</v>
      </c>
      <c r="D624" s="253" t="s">
        <v>746</v>
      </c>
    </row>
    <row r="625" spans="1:4" x14ac:dyDescent="0.25">
      <c r="A625" s="252" t="s">
        <v>1708</v>
      </c>
      <c r="B625" s="252"/>
      <c r="C625" s="252" t="s">
        <v>1709</v>
      </c>
      <c r="D625" s="253"/>
    </row>
    <row r="626" spans="1:4" x14ac:dyDescent="0.25">
      <c r="A626" s="255" t="s">
        <v>1710</v>
      </c>
      <c r="B626" s="254"/>
      <c r="C626" s="255" t="s">
        <v>1711</v>
      </c>
      <c r="D626" s="253"/>
    </row>
    <row r="627" spans="1:4" ht="26.4" x14ac:dyDescent="0.25">
      <c r="A627" s="252" t="s">
        <v>1712</v>
      </c>
      <c r="B627" s="252"/>
      <c r="C627" s="252" t="s">
        <v>1713</v>
      </c>
      <c r="D627" s="253"/>
    </row>
    <row r="628" spans="1:4" ht="26.4" x14ac:dyDescent="0.25">
      <c r="A628" s="252" t="s">
        <v>1714</v>
      </c>
      <c r="B628" s="252"/>
      <c r="C628" s="252" t="s">
        <v>1715</v>
      </c>
      <c r="D628" s="253"/>
    </row>
    <row r="629" spans="1:4" x14ac:dyDescent="0.25">
      <c r="A629" s="252" t="s">
        <v>1716</v>
      </c>
      <c r="B629" s="252"/>
      <c r="C629" s="252" t="s">
        <v>1717</v>
      </c>
      <c r="D629" s="253"/>
    </row>
    <row r="630" spans="1:4" x14ac:dyDescent="0.25">
      <c r="A630" s="252" t="s">
        <v>1718</v>
      </c>
      <c r="B630" s="252"/>
      <c r="C630" s="252" t="s">
        <v>1719</v>
      </c>
      <c r="D630" s="253"/>
    </row>
    <row r="631" spans="1:4" x14ac:dyDescent="0.25">
      <c r="A631" s="252" t="s">
        <v>1720</v>
      </c>
      <c r="B631" s="252"/>
      <c r="C631" s="252" t="s">
        <v>836</v>
      </c>
      <c r="D631" s="253" t="s">
        <v>837</v>
      </c>
    </row>
    <row r="632" spans="1:4" x14ac:dyDescent="0.25">
      <c r="A632" s="252" t="s">
        <v>1721</v>
      </c>
      <c r="B632" s="252"/>
      <c r="C632" s="252" t="s">
        <v>1722</v>
      </c>
      <c r="D632" s="260" t="s">
        <v>837</v>
      </c>
    </row>
    <row r="633" spans="1:4" x14ac:dyDescent="0.25">
      <c r="A633" s="252" t="s">
        <v>1723</v>
      </c>
      <c r="B633" s="252"/>
      <c r="C633" s="252" t="s">
        <v>558</v>
      </c>
      <c r="D633" s="253"/>
    </row>
    <row r="634" spans="1:4" x14ac:dyDescent="0.25">
      <c r="A634" s="252" t="s">
        <v>1724</v>
      </c>
      <c r="B634" s="252"/>
      <c r="C634" s="252" t="s">
        <v>560</v>
      </c>
      <c r="D634" s="253"/>
    </row>
    <row r="635" spans="1:4" x14ac:dyDescent="0.25">
      <c r="A635" s="252" t="s">
        <v>1725</v>
      </c>
      <c r="B635" s="252"/>
      <c r="C635" s="252" t="s">
        <v>1726</v>
      </c>
      <c r="D635" s="253"/>
    </row>
    <row r="636" spans="1:4" x14ac:dyDescent="0.25">
      <c r="A636" s="252" t="s">
        <v>1727</v>
      </c>
      <c r="B636" s="252"/>
      <c r="C636" s="252" t="s">
        <v>1728</v>
      </c>
      <c r="D636" s="253"/>
    </row>
    <row r="637" spans="1:4" x14ac:dyDescent="0.25">
      <c r="A637" s="252" t="s">
        <v>1729</v>
      </c>
      <c r="B637" s="252"/>
      <c r="C637" s="252" t="s">
        <v>1730</v>
      </c>
      <c r="D637" s="253"/>
    </row>
    <row r="638" spans="1:4" x14ac:dyDescent="0.25">
      <c r="A638" s="252" t="s">
        <v>1731</v>
      </c>
      <c r="B638" s="252"/>
      <c r="C638" s="252" t="s">
        <v>653</v>
      </c>
      <c r="D638" s="253"/>
    </row>
    <row r="639" spans="1:4" x14ac:dyDescent="0.25">
      <c r="A639" s="252" t="s">
        <v>1732</v>
      </c>
      <c r="B639" s="252"/>
      <c r="C639" s="252" t="s">
        <v>1733</v>
      </c>
      <c r="D639" s="253"/>
    </row>
    <row r="640" spans="1:4" x14ac:dyDescent="0.25">
      <c r="A640" s="252" t="s">
        <v>1734</v>
      </c>
      <c r="B640" s="252"/>
      <c r="C640" s="252" t="s">
        <v>1735</v>
      </c>
      <c r="D640" s="253"/>
    </row>
    <row r="641" spans="1:4" ht="26.4" x14ac:dyDescent="0.25">
      <c r="A641" s="252" t="s">
        <v>1736</v>
      </c>
      <c r="B641" s="252"/>
      <c r="C641" s="252" t="s">
        <v>1737</v>
      </c>
      <c r="D641" s="253"/>
    </row>
    <row r="642" spans="1:4" ht="26.4" x14ac:dyDescent="0.25">
      <c r="A642" s="252" t="s">
        <v>1738</v>
      </c>
      <c r="B642" s="252"/>
      <c r="C642" s="252" t="s">
        <v>1739</v>
      </c>
      <c r="D642" s="253"/>
    </row>
    <row r="643" spans="1:4" x14ac:dyDescent="0.25">
      <c r="A643" s="252" t="s">
        <v>1740</v>
      </c>
      <c r="B643" s="252"/>
      <c r="C643" s="252" t="s">
        <v>1511</v>
      </c>
      <c r="D643" s="253"/>
    </row>
    <row r="644" spans="1:4" ht="26.4" x14ac:dyDescent="0.25">
      <c r="A644" s="252" t="s">
        <v>1741</v>
      </c>
      <c r="B644" s="252"/>
      <c r="C644" s="252" t="s">
        <v>1742</v>
      </c>
      <c r="D644" s="253"/>
    </row>
    <row r="645" spans="1:4" x14ac:dyDescent="0.25">
      <c r="A645" s="252" t="s">
        <v>1743</v>
      </c>
      <c r="B645" s="252"/>
      <c r="C645" s="252" t="s">
        <v>1744</v>
      </c>
      <c r="D645" s="253"/>
    </row>
    <row r="646" spans="1:4" ht="26.4" x14ac:dyDescent="0.25">
      <c r="A646" s="255" t="s">
        <v>1745</v>
      </c>
      <c r="B646" s="254"/>
      <c r="C646" s="255" t="s">
        <v>1746</v>
      </c>
      <c r="D646" s="253"/>
    </row>
    <row r="647" spans="1:4" ht="26.4" x14ac:dyDescent="0.25">
      <c r="A647" s="252" t="s">
        <v>1747</v>
      </c>
      <c r="B647" s="252"/>
      <c r="C647" s="252" t="s">
        <v>1748</v>
      </c>
      <c r="D647" s="253"/>
    </row>
    <row r="648" spans="1:4" ht="26.4" x14ac:dyDescent="0.25">
      <c r="A648" s="252" t="s">
        <v>1749</v>
      </c>
      <c r="B648" s="252"/>
      <c r="C648" s="252" t="s">
        <v>1750</v>
      </c>
      <c r="D648" s="253"/>
    </row>
    <row r="649" spans="1:4" x14ac:dyDescent="0.25">
      <c r="A649" s="252" t="s">
        <v>1751</v>
      </c>
      <c r="B649" s="252"/>
      <c r="C649" s="252" t="s">
        <v>1752</v>
      </c>
      <c r="D649" s="253"/>
    </row>
    <row r="650" spans="1:4" x14ac:dyDescent="0.25">
      <c r="A650" s="252" t="s">
        <v>1753</v>
      </c>
      <c r="B650" s="252"/>
      <c r="C650" s="252" t="s">
        <v>1752</v>
      </c>
      <c r="D650" s="253"/>
    </row>
    <row r="651" spans="1:4" x14ac:dyDescent="0.25">
      <c r="A651" s="252" t="s">
        <v>1754</v>
      </c>
      <c r="B651" s="252"/>
      <c r="C651" s="252" t="s">
        <v>1755</v>
      </c>
      <c r="D651" s="253" t="s">
        <v>1022</v>
      </c>
    </row>
    <row r="652" spans="1:4" x14ac:dyDescent="0.25">
      <c r="A652" s="252" t="s">
        <v>1756</v>
      </c>
      <c r="B652" s="252"/>
      <c r="C652" s="252" t="s">
        <v>1757</v>
      </c>
      <c r="D652" s="253"/>
    </row>
    <row r="653" spans="1:4" x14ac:dyDescent="0.25">
      <c r="A653" s="252" t="s">
        <v>1758</v>
      </c>
      <c r="B653" s="252"/>
      <c r="C653" s="252" t="s">
        <v>1759</v>
      </c>
      <c r="D653" s="253"/>
    </row>
    <row r="654" spans="1:4" x14ac:dyDescent="0.25">
      <c r="A654" s="252" t="s">
        <v>1760</v>
      </c>
      <c r="B654" s="252"/>
      <c r="C654" s="252" t="s">
        <v>1761</v>
      </c>
      <c r="D654" s="253"/>
    </row>
    <row r="655" spans="1:4" x14ac:dyDescent="0.25">
      <c r="A655" s="252" t="s">
        <v>1762</v>
      </c>
      <c r="B655" s="252"/>
      <c r="C655" s="252" t="s">
        <v>1763</v>
      </c>
      <c r="D655" s="253"/>
    </row>
    <row r="656" spans="1:4" x14ac:dyDescent="0.25">
      <c r="A656" s="252" t="s">
        <v>1764</v>
      </c>
      <c r="B656" s="252"/>
      <c r="C656" s="252" t="s">
        <v>1765</v>
      </c>
      <c r="D656" s="253"/>
    </row>
    <row r="657" spans="1:4" x14ac:dyDescent="0.25">
      <c r="A657" s="252" t="s">
        <v>1766</v>
      </c>
      <c r="B657" s="252"/>
      <c r="C657" s="252" t="s">
        <v>1767</v>
      </c>
      <c r="D657" s="253"/>
    </row>
    <row r="658" spans="1:4" x14ac:dyDescent="0.25">
      <c r="A658" s="252" t="s">
        <v>1768</v>
      </c>
      <c r="B658" s="252"/>
      <c r="C658" s="252" t="s">
        <v>1570</v>
      </c>
      <c r="D658" s="253"/>
    </row>
    <row r="659" spans="1:4" x14ac:dyDescent="0.25">
      <c r="A659" s="252" t="s">
        <v>1769</v>
      </c>
      <c r="B659" s="252"/>
      <c r="C659" s="252" t="s">
        <v>1770</v>
      </c>
      <c r="D659" s="253"/>
    </row>
    <row r="660" spans="1:4" x14ac:dyDescent="0.25">
      <c r="A660" s="252" t="s">
        <v>1771</v>
      </c>
      <c r="B660" s="252"/>
      <c r="C660" s="252" t="s">
        <v>1772</v>
      </c>
      <c r="D660" s="253"/>
    </row>
    <row r="661" spans="1:4" x14ac:dyDescent="0.25">
      <c r="A661" s="252" t="s">
        <v>1773</v>
      </c>
      <c r="B661" s="252"/>
      <c r="C661" s="252" t="s">
        <v>1774</v>
      </c>
      <c r="D661" s="253"/>
    </row>
    <row r="662" spans="1:4" x14ac:dyDescent="0.25">
      <c r="A662" s="252" t="s">
        <v>1775</v>
      </c>
      <c r="B662" s="252"/>
      <c r="C662" s="252" t="s">
        <v>1776</v>
      </c>
      <c r="D662" s="253"/>
    </row>
    <row r="663" spans="1:4" ht="26.4" x14ac:dyDescent="0.25">
      <c r="A663" s="252" t="s">
        <v>1777</v>
      </c>
      <c r="B663" s="252"/>
      <c r="C663" s="252" t="s">
        <v>1778</v>
      </c>
      <c r="D663" s="253"/>
    </row>
    <row r="664" spans="1:4" x14ac:dyDescent="0.25">
      <c r="A664" s="252" t="s">
        <v>1779</v>
      </c>
      <c r="B664" s="252"/>
      <c r="C664" s="252" t="s">
        <v>1780</v>
      </c>
      <c r="D664" s="253"/>
    </row>
    <row r="665" spans="1:4" x14ac:dyDescent="0.25">
      <c r="A665" s="252" t="s">
        <v>1781</v>
      </c>
      <c r="B665" s="252"/>
      <c r="C665" s="252" t="s">
        <v>1666</v>
      </c>
      <c r="D665" s="253"/>
    </row>
    <row r="666" spans="1:4" x14ac:dyDescent="0.25">
      <c r="A666" s="255" t="s">
        <v>1782</v>
      </c>
      <c r="B666" s="254"/>
      <c r="C666" s="255" t="s">
        <v>1783</v>
      </c>
      <c r="D666" s="253"/>
    </row>
    <row r="667" spans="1:4" x14ac:dyDescent="0.25">
      <c r="A667" s="252" t="s">
        <v>1784</v>
      </c>
      <c r="B667" s="252"/>
      <c r="C667" s="252" t="s">
        <v>558</v>
      </c>
      <c r="D667" s="253"/>
    </row>
    <row r="668" spans="1:4" x14ac:dyDescent="0.25">
      <c r="A668" s="252" t="s">
        <v>1785</v>
      </c>
      <c r="B668" s="252"/>
      <c r="C668" s="252" t="s">
        <v>1786</v>
      </c>
      <c r="D668" s="253"/>
    </row>
    <row r="669" spans="1:4" x14ac:dyDescent="0.25">
      <c r="A669" s="255" t="s">
        <v>1787</v>
      </c>
      <c r="B669" s="254"/>
      <c r="C669" s="255" t="s">
        <v>1788</v>
      </c>
      <c r="D669" s="253"/>
    </row>
    <row r="670" spans="1:4" x14ac:dyDescent="0.25">
      <c r="A670" s="252" t="s">
        <v>1789</v>
      </c>
      <c r="B670" s="252"/>
      <c r="C670" s="252" t="s">
        <v>1790</v>
      </c>
      <c r="D670" s="253"/>
    </row>
    <row r="671" spans="1:4" x14ac:dyDescent="0.25">
      <c r="A671" s="252" t="s">
        <v>1791</v>
      </c>
      <c r="B671" s="252"/>
      <c r="C671" s="252" t="s">
        <v>1792</v>
      </c>
      <c r="D671" s="253"/>
    </row>
    <row r="672" spans="1:4" x14ac:dyDescent="0.25">
      <c r="A672" s="252" t="s">
        <v>1793</v>
      </c>
      <c r="B672" s="252"/>
      <c r="C672" s="252" t="s">
        <v>1794</v>
      </c>
      <c r="D672" s="253"/>
    </row>
    <row r="673" spans="1:4" x14ac:dyDescent="0.25">
      <c r="A673" s="252" t="s">
        <v>1795</v>
      </c>
      <c r="B673" s="252"/>
      <c r="C673" s="252" t="s">
        <v>1796</v>
      </c>
      <c r="D673" s="253"/>
    </row>
    <row r="674" spans="1:4" x14ac:dyDescent="0.25">
      <c r="A674" s="252" t="s">
        <v>1797</v>
      </c>
      <c r="B674" s="252"/>
      <c r="C674" s="252" t="s">
        <v>1798</v>
      </c>
      <c r="D674" s="253"/>
    </row>
    <row r="675" spans="1:4" x14ac:dyDescent="0.25">
      <c r="A675" s="252" t="s">
        <v>1799</v>
      </c>
      <c r="B675" s="252"/>
      <c r="C675" s="252" t="s">
        <v>1759</v>
      </c>
      <c r="D675" s="253"/>
    </row>
    <row r="676" spans="1:4" x14ac:dyDescent="0.25">
      <c r="A676" s="252" t="s">
        <v>1800</v>
      </c>
      <c r="B676" s="252"/>
      <c r="C676" s="252" t="s">
        <v>558</v>
      </c>
      <c r="D676" s="253"/>
    </row>
    <row r="677" spans="1:4" x14ac:dyDescent="0.25">
      <c r="A677" s="252" t="s">
        <v>1801</v>
      </c>
      <c r="B677" s="252"/>
      <c r="C677" s="252" t="s">
        <v>1392</v>
      </c>
      <c r="D677" s="253"/>
    </row>
    <row r="678" spans="1:4" x14ac:dyDescent="0.25">
      <c r="A678" s="252" t="s">
        <v>1802</v>
      </c>
      <c r="B678" s="252"/>
      <c r="C678" s="252" t="s">
        <v>1803</v>
      </c>
      <c r="D678" s="253"/>
    </row>
    <row r="679" spans="1:4" x14ac:dyDescent="0.25">
      <c r="A679" s="252" t="s">
        <v>1804</v>
      </c>
      <c r="B679" s="252"/>
      <c r="C679" s="252" t="s">
        <v>1056</v>
      </c>
      <c r="D679" s="253"/>
    </row>
    <row r="680" spans="1:4" x14ac:dyDescent="0.25">
      <c r="A680" s="252" t="s">
        <v>1805</v>
      </c>
      <c r="B680" s="252"/>
      <c r="C680" s="252" t="s">
        <v>1806</v>
      </c>
      <c r="D680" s="253"/>
    </row>
    <row r="681" spans="1:4" x14ac:dyDescent="0.25">
      <c r="A681" s="252" t="s">
        <v>1807</v>
      </c>
      <c r="B681" s="252"/>
      <c r="C681" s="252" t="s">
        <v>1586</v>
      </c>
      <c r="D681" s="253"/>
    </row>
    <row r="682" spans="1:4" x14ac:dyDescent="0.25">
      <c r="A682" s="252" t="s">
        <v>1808</v>
      </c>
      <c r="B682" s="252"/>
      <c r="C682" s="252" t="s">
        <v>1809</v>
      </c>
      <c r="D682" s="253"/>
    </row>
    <row r="683" spans="1:4" ht="26.4" x14ac:dyDescent="0.25">
      <c r="A683" s="252" t="s">
        <v>1810</v>
      </c>
      <c r="B683" s="252"/>
      <c r="C683" s="252" t="s">
        <v>1811</v>
      </c>
      <c r="D683" s="253"/>
    </row>
    <row r="684" spans="1:4" x14ac:dyDescent="0.25">
      <c r="A684" s="252" t="s">
        <v>1812</v>
      </c>
      <c r="B684" s="252"/>
      <c r="C684" s="252" t="s">
        <v>1813</v>
      </c>
      <c r="D684" s="253"/>
    </row>
    <row r="685" spans="1:4" x14ac:dyDescent="0.25">
      <c r="A685" s="252" t="s">
        <v>1814</v>
      </c>
      <c r="B685" s="252"/>
      <c r="C685" s="252" t="s">
        <v>1815</v>
      </c>
      <c r="D685" s="253"/>
    </row>
    <row r="686" spans="1:4" x14ac:dyDescent="0.25">
      <c r="A686" s="252" t="s">
        <v>1816</v>
      </c>
      <c r="B686" s="252"/>
      <c r="C686" s="252" t="s">
        <v>1817</v>
      </c>
      <c r="D686" s="253"/>
    </row>
    <row r="687" spans="1:4" x14ac:dyDescent="0.25">
      <c r="A687" s="252" t="s">
        <v>1818</v>
      </c>
      <c r="B687" s="252"/>
      <c r="C687" s="252" t="s">
        <v>1819</v>
      </c>
      <c r="D687" s="253"/>
    </row>
    <row r="688" spans="1:4" x14ac:dyDescent="0.25">
      <c r="A688" s="252" t="s">
        <v>1820</v>
      </c>
      <c r="B688" s="252"/>
      <c r="C688" s="252" t="s">
        <v>1821</v>
      </c>
      <c r="D688" s="253"/>
    </row>
    <row r="689" spans="1:4" x14ac:dyDescent="0.25">
      <c r="A689" s="252" t="s">
        <v>1822</v>
      </c>
      <c r="B689" s="252"/>
      <c r="C689" s="252" t="s">
        <v>1823</v>
      </c>
      <c r="D689" s="253"/>
    </row>
    <row r="690" spans="1:4" x14ac:dyDescent="0.25">
      <c r="A690" s="252" t="s">
        <v>1824</v>
      </c>
      <c r="B690" s="252"/>
      <c r="C690" s="252" t="s">
        <v>1825</v>
      </c>
      <c r="D690" s="253"/>
    </row>
    <row r="691" spans="1:4" x14ac:dyDescent="0.25">
      <c r="A691" s="252" t="s">
        <v>1826</v>
      </c>
      <c r="B691" s="252"/>
      <c r="C691" s="252" t="s">
        <v>1827</v>
      </c>
      <c r="D691" s="253"/>
    </row>
    <row r="692" spans="1:4" x14ac:dyDescent="0.25">
      <c r="A692" s="252" t="s">
        <v>1828</v>
      </c>
      <c r="B692" s="252"/>
      <c r="C692" s="252" t="s">
        <v>1829</v>
      </c>
      <c r="D692" s="253"/>
    </row>
    <row r="693" spans="1:4" x14ac:dyDescent="0.25">
      <c r="A693" s="252" t="s">
        <v>1830</v>
      </c>
      <c r="B693" s="252"/>
      <c r="C693" s="252" t="s">
        <v>1831</v>
      </c>
      <c r="D693" s="253"/>
    </row>
    <row r="694" spans="1:4" ht="26.4" x14ac:dyDescent="0.25">
      <c r="A694" s="252" t="s">
        <v>1832</v>
      </c>
      <c r="B694" s="252"/>
      <c r="C694" s="252" t="s">
        <v>1833</v>
      </c>
      <c r="D694" s="253"/>
    </row>
    <row r="695" spans="1:4" x14ac:dyDescent="0.25">
      <c r="A695" s="252" t="s">
        <v>1834</v>
      </c>
      <c r="B695" s="252"/>
      <c r="C695" s="252" t="s">
        <v>1835</v>
      </c>
      <c r="D695" s="253"/>
    </row>
    <row r="696" spans="1:4" x14ac:dyDescent="0.25">
      <c r="A696" s="252" t="s">
        <v>1836</v>
      </c>
      <c r="B696" s="252"/>
      <c r="C696" s="252" t="s">
        <v>1837</v>
      </c>
      <c r="D696" s="260" t="s">
        <v>944</v>
      </c>
    </row>
    <row r="697" spans="1:4" ht="26.4" x14ac:dyDescent="0.25">
      <c r="A697" s="252" t="s">
        <v>1838</v>
      </c>
      <c r="B697" s="252"/>
      <c r="C697" s="252" t="s">
        <v>1839</v>
      </c>
      <c r="D697" s="253"/>
    </row>
    <row r="698" spans="1:4" ht="26.4" x14ac:dyDescent="0.25">
      <c r="A698" s="252" t="s">
        <v>1840</v>
      </c>
      <c r="B698" s="252"/>
      <c r="C698" s="252" t="s">
        <v>1841</v>
      </c>
      <c r="D698" s="253"/>
    </row>
    <row r="699" spans="1:4" x14ac:dyDescent="0.25">
      <c r="A699" s="252" t="s">
        <v>1842</v>
      </c>
      <c r="B699" s="252"/>
      <c r="C699" s="252" t="s">
        <v>1735</v>
      </c>
      <c r="D699" s="253"/>
    </row>
    <row r="700" spans="1:4" x14ac:dyDescent="0.25">
      <c r="A700" s="252" t="s">
        <v>1843</v>
      </c>
      <c r="B700" s="252"/>
      <c r="C700" s="252" t="s">
        <v>1735</v>
      </c>
      <c r="D700" s="253"/>
    </row>
    <row r="701" spans="1:4" x14ac:dyDescent="0.25">
      <c r="A701" s="252" t="s">
        <v>1844</v>
      </c>
      <c r="B701" s="252"/>
      <c r="C701" s="252" t="s">
        <v>1845</v>
      </c>
      <c r="D701" s="253"/>
    </row>
    <row r="702" spans="1:4" ht="26.4" x14ac:dyDescent="0.25">
      <c r="A702" s="252" t="s">
        <v>1846</v>
      </c>
      <c r="B702" s="252"/>
      <c r="C702" s="252" t="s">
        <v>1847</v>
      </c>
      <c r="D702" s="253"/>
    </row>
    <row r="703" spans="1:4" x14ac:dyDescent="0.25">
      <c r="A703" s="252" t="s">
        <v>1848</v>
      </c>
      <c r="B703" s="252"/>
      <c r="C703" s="252" t="s">
        <v>1849</v>
      </c>
      <c r="D703" s="253" t="s">
        <v>891</v>
      </c>
    </row>
    <row r="704" spans="1:4" x14ac:dyDescent="0.25">
      <c r="A704" s="252" t="s">
        <v>1850</v>
      </c>
      <c r="B704" s="252"/>
      <c r="C704" s="252" t="s">
        <v>770</v>
      </c>
      <c r="D704" s="253"/>
    </row>
    <row r="705" spans="1:4" x14ac:dyDescent="0.25">
      <c r="A705" s="252" t="s">
        <v>1851</v>
      </c>
      <c r="B705" s="252"/>
      <c r="C705" s="252" t="s">
        <v>1852</v>
      </c>
      <c r="D705" s="253"/>
    </row>
    <row r="706" spans="1:4" x14ac:dyDescent="0.25">
      <c r="A706" s="252" t="s">
        <v>1853</v>
      </c>
      <c r="B706" s="252"/>
      <c r="C706" s="252" t="s">
        <v>1854</v>
      </c>
      <c r="D706" s="253"/>
    </row>
    <row r="707" spans="1:4" ht="26.4" x14ac:dyDescent="0.25">
      <c r="A707" s="252" t="s">
        <v>1855</v>
      </c>
      <c r="B707" s="252"/>
      <c r="C707" s="252" t="s">
        <v>1856</v>
      </c>
      <c r="D707" s="253"/>
    </row>
    <row r="708" spans="1:4" x14ac:dyDescent="0.25">
      <c r="A708" s="252" t="s">
        <v>1857</v>
      </c>
      <c r="B708" s="252"/>
      <c r="C708" s="252" t="s">
        <v>1858</v>
      </c>
      <c r="D708" s="253"/>
    </row>
    <row r="709" spans="1:4" x14ac:dyDescent="0.25">
      <c r="A709" s="252" t="s">
        <v>1859</v>
      </c>
      <c r="B709" s="252"/>
      <c r="C709" s="252" t="s">
        <v>1331</v>
      </c>
      <c r="D709" s="253"/>
    </row>
    <row r="710" spans="1:4" x14ac:dyDescent="0.25">
      <c r="A710" s="252" t="s">
        <v>1860</v>
      </c>
      <c r="B710" s="252"/>
      <c r="C710" s="252" t="s">
        <v>1333</v>
      </c>
      <c r="D710" s="253"/>
    </row>
    <row r="711" spans="1:4" x14ac:dyDescent="0.25">
      <c r="A711" s="252" t="s">
        <v>1861</v>
      </c>
      <c r="B711" s="252"/>
      <c r="C711" s="252" t="s">
        <v>1862</v>
      </c>
      <c r="D711" s="253"/>
    </row>
    <row r="712" spans="1:4" ht="26.4" x14ac:dyDescent="0.25">
      <c r="A712" s="252" t="s">
        <v>1863</v>
      </c>
      <c r="B712" s="252"/>
      <c r="C712" s="252" t="s">
        <v>1864</v>
      </c>
      <c r="D712" s="253"/>
    </row>
    <row r="713" spans="1:4" x14ac:dyDescent="0.25">
      <c r="A713" s="252" t="s">
        <v>1865</v>
      </c>
      <c r="B713" s="252"/>
      <c r="C713" s="252" t="s">
        <v>1866</v>
      </c>
      <c r="D713" s="253"/>
    </row>
    <row r="714" spans="1:4" x14ac:dyDescent="0.25">
      <c r="A714" s="252" t="s">
        <v>1867</v>
      </c>
      <c r="B714" s="252"/>
      <c r="C714" s="252" t="s">
        <v>1868</v>
      </c>
      <c r="D714" s="253"/>
    </row>
    <row r="715" spans="1:4" x14ac:dyDescent="0.25">
      <c r="A715" s="252" t="s">
        <v>1869</v>
      </c>
      <c r="B715" s="252"/>
      <c r="C715" s="252" t="s">
        <v>653</v>
      </c>
      <c r="D715" s="253"/>
    </row>
    <row r="716" spans="1:4" x14ac:dyDescent="0.25">
      <c r="A716" s="252" t="s">
        <v>1870</v>
      </c>
      <c r="B716" s="252"/>
      <c r="C716" s="252" t="s">
        <v>653</v>
      </c>
      <c r="D716" s="253"/>
    </row>
    <row r="717" spans="1:4" x14ac:dyDescent="0.25">
      <c r="A717" s="252" t="s">
        <v>1871</v>
      </c>
      <c r="B717" s="252"/>
      <c r="C717" s="261" t="s">
        <v>1872</v>
      </c>
      <c r="D717" s="253"/>
    </row>
    <row r="718" spans="1:4" x14ac:dyDescent="0.25">
      <c r="A718" s="252" t="s">
        <v>1873</v>
      </c>
      <c r="B718" s="252"/>
      <c r="C718" s="252" t="s">
        <v>1874</v>
      </c>
      <c r="D718" s="253"/>
    </row>
    <row r="719" spans="1:4" x14ac:dyDescent="0.25">
      <c r="A719" s="252" t="s">
        <v>1875</v>
      </c>
      <c r="B719" s="252"/>
      <c r="C719" s="252" t="s">
        <v>1874</v>
      </c>
      <c r="D719" s="253"/>
    </row>
    <row r="720" spans="1:4" x14ac:dyDescent="0.25">
      <c r="A720" s="252" t="s">
        <v>1876</v>
      </c>
      <c r="B720" s="252"/>
      <c r="C720" s="252" t="s">
        <v>1877</v>
      </c>
      <c r="D720" s="253" t="s">
        <v>1089</v>
      </c>
    </row>
    <row r="721" spans="1:4" x14ac:dyDescent="0.25">
      <c r="A721" s="252" t="s">
        <v>1878</v>
      </c>
      <c r="B721" s="252"/>
      <c r="C721" s="252" t="s">
        <v>1879</v>
      </c>
      <c r="D721" s="253" t="s">
        <v>1089</v>
      </c>
    </row>
    <row r="722" spans="1:4" x14ac:dyDescent="0.25">
      <c r="A722" s="252" t="s">
        <v>1880</v>
      </c>
      <c r="B722" s="252"/>
      <c r="C722" s="252" t="s">
        <v>1881</v>
      </c>
      <c r="D722" s="253" t="s">
        <v>947</v>
      </c>
    </row>
    <row r="723" spans="1:4" x14ac:dyDescent="0.25">
      <c r="A723" s="252" t="s">
        <v>1882</v>
      </c>
      <c r="B723" s="252"/>
      <c r="C723" s="252" t="s">
        <v>1626</v>
      </c>
      <c r="D723" s="253"/>
    </row>
    <row r="724" spans="1:4" x14ac:dyDescent="0.25">
      <c r="A724" s="255" t="s">
        <v>1883</v>
      </c>
      <c r="B724" s="254"/>
      <c r="C724" s="255" t="s">
        <v>1884</v>
      </c>
      <c r="D724" s="253"/>
    </row>
    <row r="725" spans="1:4" x14ac:dyDescent="0.25">
      <c r="A725" s="252" t="s">
        <v>1885</v>
      </c>
      <c r="B725" s="252"/>
      <c r="C725" s="252" t="s">
        <v>1886</v>
      </c>
      <c r="D725" s="253"/>
    </row>
    <row r="726" spans="1:4" x14ac:dyDescent="0.25">
      <c r="A726" s="252" t="s">
        <v>1887</v>
      </c>
      <c r="B726" s="252"/>
      <c r="C726" s="252" t="s">
        <v>1888</v>
      </c>
      <c r="D726" s="253"/>
    </row>
    <row r="727" spans="1:4" x14ac:dyDescent="0.25">
      <c r="A727" s="252" t="s">
        <v>1889</v>
      </c>
      <c r="B727" s="252"/>
      <c r="C727" s="252" t="s">
        <v>1890</v>
      </c>
      <c r="D727" s="253"/>
    </row>
    <row r="728" spans="1:4" x14ac:dyDescent="0.25">
      <c r="A728" s="252" t="s">
        <v>1891</v>
      </c>
      <c r="B728" s="252"/>
      <c r="C728" s="252" t="s">
        <v>1892</v>
      </c>
      <c r="D728" s="253"/>
    </row>
    <row r="729" spans="1:4" x14ac:dyDescent="0.25">
      <c r="A729" s="252" t="s">
        <v>1893</v>
      </c>
      <c r="B729" s="252"/>
      <c r="C729" s="252" t="s">
        <v>1881</v>
      </c>
      <c r="D729" s="253" t="s">
        <v>947</v>
      </c>
    </row>
    <row r="730" spans="1:4" ht="26.4" x14ac:dyDescent="0.25">
      <c r="A730" s="255" t="s">
        <v>1894</v>
      </c>
      <c r="B730" s="254"/>
      <c r="C730" s="254" t="s">
        <v>1895</v>
      </c>
      <c r="D730" s="263" t="s">
        <v>891</v>
      </c>
    </row>
    <row r="731" spans="1:4" x14ac:dyDescent="0.25">
      <c r="A731" s="252" t="s">
        <v>1896</v>
      </c>
      <c r="B731" s="252"/>
      <c r="C731" s="252" t="s">
        <v>1897</v>
      </c>
      <c r="D731" s="253"/>
    </row>
    <row r="732" spans="1:4" x14ac:dyDescent="0.25">
      <c r="A732" s="252" t="s">
        <v>1898</v>
      </c>
      <c r="B732" s="252"/>
      <c r="C732" s="252" t="s">
        <v>1899</v>
      </c>
      <c r="D732" s="253"/>
    </row>
    <row r="733" spans="1:4" x14ac:dyDescent="0.25">
      <c r="A733" s="252" t="s">
        <v>1900</v>
      </c>
      <c r="B733" s="252"/>
      <c r="C733" s="252" t="s">
        <v>1901</v>
      </c>
      <c r="D733" s="253"/>
    </row>
    <row r="734" spans="1:4" x14ac:dyDescent="0.25">
      <c r="A734" s="252" t="s">
        <v>1902</v>
      </c>
      <c r="B734" s="252"/>
      <c r="C734" s="252" t="s">
        <v>1903</v>
      </c>
      <c r="D734" s="253"/>
    </row>
    <row r="735" spans="1:4" x14ac:dyDescent="0.25">
      <c r="A735" s="252" t="s">
        <v>1904</v>
      </c>
      <c r="B735" s="252"/>
      <c r="C735" s="252" t="s">
        <v>1905</v>
      </c>
      <c r="D735" s="253" t="s">
        <v>1906</v>
      </c>
    </row>
    <row r="736" spans="1:4" x14ac:dyDescent="0.25">
      <c r="A736" s="252" t="s">
        <v>1907</v>
      </c>
      <c r="B736" s="252"/>
      <c r="C736" s="252" t="s">
        <v>1908</v>
      </c>
      <c r="D736" s="253"/>
    </row>
    <row r="737" spans="1:4" x14ac:dyDescent="0.25">
      <c r="A737" s="252" t="s">
        <v>1909</v>
      </c>
      <c r="B737" s="252"/>
      <c r="C737" s="252" t="s">
        <v>1910</v>
      </c>
      <c r="D737" s="253"/>
    </row>
    <row r="738" spans="1:4" x14ac:dyDescent="0.25">
      <c r="A738" s="252" t="s">
        <v>1911</v>
      </c>
      <c r="B738" s="252"/>
      <c r="C738" s="252" t="s">
        <v>1912</v>
      </c>
      <c r="D738" s="253" t="s">
        <v>1913</v>
      </c>
    </row>
    <row r="739" spans="1:4" x14ac:dyDescent="0.25">
      <c r="A739" s="252" t="s">
        <v>1914</v>
      </c>
      <c r="B739" s="252"/>
      <c r="C739" s="252" t="s">
        <v>1915</v>
      </c>
      <c r="D739" s="253"/>
    </row>
    <row r="740" spans="1:4" ht="26.4" x14ac:dyDescent="0.25">
      <c r="A740" s="252" t="s">
        <v>1916</v>
      </c>
      <c r="B740" s="252"/>
      <c r="C740" s="252" t="s">
        <v>1917</v>
      </c>
      <c r="D740" s="253"/>
    </row>
    <row r="741" spans="1:4" x14ac:dyDescent="0.25">
      <c r="A741" s="252" t="s">
        <v>1918</v>
      </c>
      <c r="B741" s="252"/>
      <c r="C741" s="252" t="s">
        <v>1919</v>
      </c>
      <c r="D741" s="253"/>
    </row>
    <row r="742" spans="1:4" x14ac:dyDescent="0.25">
      <c r="A742" s="252" t="s">
        <v>1920</v>
      </c>
      <c r="B742" s="252"/>
      <c r="C742" s="252" t="s">
        <v>1921</v>
      </c>
      <c r="D742" s="253"/>
    </row>
    <row r="743" spans="1:4" x14ac:dyDescent="0.25">
      <c r="A743" s="252" t="s">
        <v>1922</v>
      </c>
      <c r="B743" s="252"/>
      <c r="C743" s="252" t="s">
        <v>1923</v>
      </c>
      <c r="D743" s="253"/>
    </row>
    <row r="744" spans="1:4" ht="26.4" x14ac:dyDescent="0.25">
      <c r="A744" s="252" t="s">
        <v>1924</v>
      </c>
      <c r="B744" s="252"/>
      <c r="C744" s="252" t="s">
        <v>1925</v>
      </c>
      <c r="D744" s="253"/>
    </row>
    <row r="745" spans="1:4" ht="26.4" x14ac:dyDescent="0.25">
      <c r="A745" s="252" t="s">
        <v>1926</v>
      </c>
      <c r="B745" s="252"/>
      <c r="C745" s="252" t="s">
        <v>1927</v>
      </c>
      <c r="D745" s="253"/>
    </row>
    <row r="746" spans="1:4" ht="26.4" x14ac:dyDescent="0.25">
      <c r="A746" s="252" t="s">
        <v>1928</v>
      </c>
      <c r="B746" s="252"/>
      <c r="C746" s="252" t="s">
        <v>1929</v>
      </c>
      <c r="D746" s="253"/>
    </row>
    <row r="747" spans="1:4" x14ac:dyDescent="0.25">
      <c r="A747" s="252" t="s">
        <v>1930</v>
      </c>
      <c r="B747" s="252"/>
      <c r="C747" s="252" t="s">
        <v>1931</v>
      </c>
      <c r="D747" s="253"/>
    </row>
    <row r="748" spans="1:4" ht="26.4" x14ac:dyDescent="0.25">
      <c r="A748" s="252" t="s">
        <v>1932</v>
      </c>
      <c r="B748" s="252"/>
      <c r="C748" s="252" t="s">
        <v>1927</v>
      </c>
      <c r="D748" s="253"/>
    </row>
    <row r="749" spans="1:4" x14ac:dyDescent="0.25">
      <c r="A749" s="252" t="s">
        <v>1933</v>
      </c>
      <c r="B749" s="252"/>
      <c r="C749" s="252" t="s">
        <v>1934</v>
      </c>
      <c r="D749" s="253"/>
    </row>
    <row r="750" spans="1:4" x14ac:dyDescent="0.25">
      <c r="A750" s="252" t="s">
        <v>1935</v>
      </c>
      <c r="B750" s="252"/>
      <c r="C750" s="252" t="s">
        <v>1936</v>
      </c>
      <c r="D750" s="253"/>
    </row>
    <row r="751" spans="1:4" x14ac:dyDescent="0.25">
      <c r="A751" s="252" t="s">
        <v>1937</v>
      </c>
      <c r="B751" s="252"/>
      <c r="C751" s="252" t="s">
        <v>1938</v>
      </c>
      <c r="D751" s="253"/>
    </row>
    <row r="752" spans="1:4" x14ac:dyDescent="0.25">
      <c r="A752" s="252" t="s">
        <v>1939</v>
      </c>
      <c r="B752" s="252"/>
      <c r="C752" s="252" t="s">
        <v>1142</v>
      </c>
      <c r="D752" s="253"/>
    </row>
    <row r="753" spans="1:4" x14ac:dyDescent="0.25">
      <c r="A753" s="252" t="s">
        <v>1940</v>
      </c>
      <c r="B753" s="252"/>
      <c r="C753" s="252" t="s">
        <v>653</v>
      </c>
      <c r="D753" s="253"/>
    </row>
    <row r="754" spans="1:4" x14ac:dyDescent="0.25">
      <c r="A754" s="252" t="s">
        <v>1941</v>
      </c>
      <c r="B754" s="252"/>
      <c r="C754" s="252" t="s">
        <v>1942</v>
      </c>
      <c r="D754" s="253"/>
    </row>
    <row r="755" spans="1:4" x14ac:dyDescent="0.25">
      <c r="A755" s="252" t="s">
        <v>1943</v>
      </c>
      <c r="B755" s="252"/>
      <c r="C755" s="261" t="s">
        <v>1944</v>
      </c>
      <c r="D755" s="253"/>
    </row>
    <row r="756" spans="1:4" x14ac:dyDescent="0.25">
      <c r="A756" s="252" t="s">
        <v>1945</v>
      </c>
      <c r="B756" s="252"/>
      <c r="C756" s="252" t="s">
        <v>1946</v>
      </c>
      <c r="D756" s="253"/>
    </row>
    <row r="757" spans="1:4" x14ac:dyDescent="0.25">
      <c r="A757" s="252" t="s">
        <v>1947</v>
      </c>
      <c r="B757" s="252"/>
      <c r="C757" s="252" t="s">
        <v>1948</v>
      </c>
      <c r="D757" s="253"/>
    </row>
    <row r="758" spans="1:4" x14ac:dyDescent="0.25">
      <c r="A758" s="255" t="s">
        <v>1949</v>
      </c>
      <c r="B758" s="254"/>
      <c r="C758" s="255" t="s">
        <v>1950</v>
      </c>
      <c r="D758" s="253"/>
    </row>
    <row r="759" spans="1:4" x14ac:dyDescent="0.25">
      <c r="A759" s="252" t="s">
        <v>1951</v>
      </c>
      <c r="B759" s="252"/>
      <c r="C759" s="252" t="s">
        <v>1952</v>
      </c>
      <c r="D759" s="253"/>
    </row>
    <row r="760" spans="1:4" x14ac:dyDescent="0.25">
      <c r="A760" s="252" t="s">
        <v>1953</v>
      </c>
      <c r="B760" s="252"/>
      <c r="C760" s="252" t="s">
        <v>1954</v>
      </c>
      <c r="D760" s="253"/>
    </row>
    <row r="761" spans="1:4" x14ac:dyDescent="0.25">
      <c r="A761" s="255" t="s">
        <v>1955</v>
      </c>
      <c r="B761" s="254"/>
      <c r="C761" s="255" t="s">
        <v>1956</v>
      </c>
      <c r="D761" s="253"/>
    </row>
    <row r="762" spans="1:4" x14ac:dyDescent="0.25">
      <c r="A762" s="252" t="s">
        <v>1957</v>
      </c>
      <c r="B762" s="252"/>
      <c r="C762" s="252" t="s">
        <v>1958</v>
      </c>
      <c r="D762" s="253"/>
    </row>
    <row r="763" spans="1:4" ht="26.4" x14ac:dyDescent="0.25">
      <c r="A763" s="252" t="s">
        <v>1959</v>
      </c>
      <c r="B763" s="252"/>
      <c r="C763" s="252" t="s">
        <v>1960</v>
      </c>
      <c r="D763" s="253"/>
    </row>
    <row r="764" spans="1:4" x14ac:dyDescent="0.25">
      <c r="A764" s="252" t="s">
        <v>1961</v>
      </c>
      <c r="B764" s="252"/>
      <c r="C764" s="252" t="s">
        <v>1962</v>
      </c>
      <c r="D764" s="253"/>
    </row>
    <row r="765" spans="1:4" x14ac:dyDescent="0.25">
      <c r="A765" s="252" t="s">
        <v>1963</v>
      </c>
      <c r="B765" s="252"/>
      <c r="C765" s="252" t="s">
        <v>1964</v>
      </c>
      <c r="D765" s="253"/>
    </row>
    <row r="766" spans="1:4" x14ac:dyDescent="0.25">
      <c r="A766" s="252" t="s">
        <v>1965</v>
      </c>
      <c r="B766" s="252"/>
      <c r="C766" s="252" t="s">
        <v>1966</v>
      </c>
      <c r="D766" s="253" t="s">
        <v>1913</v>
      </c>
    </row>
    <row r="767" spans="1:4" x14ac:dyDescent="0.25">
      <c r="A767" s="255" t="s">
        <v>1967</v>
      </c>
      <c r="B767" s="254"/>
      <c r="C767" s="255" t="s">
        <v>1968</v>
      </c>
      <c r="D767" s="260" t="s">
        <v>944</v>
      </c>
    </row>
    <row r="768" spans="1:4" x14ac:dyDescent="0.25">
      <c r="A768" s="255" t="s">
        <v>1969</v>
      </c>
      <c r="B768" s="254"/>
      <c r="C768" s="255" t="s">
        <v>1970</v>
      </c>
      <c r="D768" s="253" t="s">
        <v>1913</v>
      </c>
    </row>
    <row r="769" spans="1:4" x14ac:dyDescent="0.25">
      <c r="A769" s="252" t="s">
        <v>1971</v>
      </c>
      <c r="B769" s="252"/>
      <c r="C769" s="252" t="s">
        <v>1972</v>
      </c>
      <c r="D769" s="253" t="s">
        <v>1973</v>
      </c>
    </row>
    <row r="770" spans="1:4" x14ac:dyDescent="0.25">
      <c r="A770" s="252" t="s">
        <v>1974</v>
      </c>
      <c r="B770" s="252"/>
      <c r="C770" s="252" t="s">
        <v>1975</v>
      </c>
      <c r="D770" s="260" t="s">
        <v>1976</v>
      </c>
    </row>
    <row r="771" spans="1:4" x14ac:dyDescent="0.25">
      <c r="A771" s="252" t="s">
        <v>1977</v>
      </c>
      <c r="B771" s="252"/>
      <c r="C771" s="252" t="s">
        <v>1978</v>
      </c>
      <c r="D771" s="253" t="s">
        <v>1973</v>
      </c>
    </row>
    <row r="772" spans="1:4" x14ac:dyDescent="0.25">
      <c r="A772" s="255" t="s">
        <v>1979</v>
      </c>
      <c r="B772" s="254"/>
      <c r="C772" s="255" t="s">
        <v>1980</v>
      </c>
      <c r="D772" s="253" t="s">
        <v>1913</v>
      </c>
    </row>
    <row r="773" spans="1:4" ht="22.8" x14ac:dyDescent="0.25">
      <c r="A773" s="255" t="s">
        <v>1981</v>
      </c>
      <c r="B773" s="254"/>
      <c r="C773" s="264" t="s">
        <v>1982</v>
      </c>
      <c r="D773" s="253" t="s">
        <v>1973</v>
      </c>
    </row>
    <row r="774" spans="1:4" x14ac:dyDescent="0.25">
      <c r="A774" s="255" t="s">
        <v>1983</v>
      </c>
      <c r="B774" s="254"/>
      <c r="C774" s="264" t="s">
        <v>1984</v>
      </c>
      <c r="D774" s="253" t="s">
        <v>1973</v>
      </c>
    </row>
    <row r="775" spans="1:4" x14ac:dyDescent="0.25">
      <c r="A775" s="252" t="s">
        <v>1985</v>
      </c>
      <c r="B775" s="252"/>
      <c r="C775" s="252" t="s">
        <v>1986</v>
      </c>
      <c r="D775" s="253"/>
    </row>
    <row r="776" spans="1:4" x14ac:dyDescent="0.25">
      <c r="A776" s="252" t="s">
        <v>1987</v>
      </c>
      <c r="B776" s="252"/>
      <c r="C776" s="252" t="s">
        <v>1029</v>
      </c>
      <c r="D776" s="253"/>
    </row>
    <row r="777" spans="1:4" x14ac:dyDescent="0.25">
      <c r="A777" s="252" t="s">
        <v>1988</v>
      </c>
      <c r="B777" s="252"/>
      <c r="C777" s="252" t="s">
        <v>1267</v>
      </c>
      <c r="D777" s="253"/>
    </row>
    <row r="778" spans="1:4" x14ac:dyDescent="0.25">
      <c r="A778" s="252" t="s">
        <v>1989</v>
      </c>
      <c r="B778" s="252"/>
      <c r="C778" s="252" t="s">
        <v>986</v>
      </c>
      <c r="D778" s="253" t="s">
        <v>891</v>
      </c>
    </row>
    <row r="779" spans="1:4" x14ac:dyDescent="0.25">
      <c r="A779" s="255" t="s">
        <v>1990</v>
      </c>
      <c r="B779" s="254"/>
      <c r="C779" s="255" t="s">
        <v>1991</v>
      </c>
      <c r="D779" s="253"/>
    </row>
    <row r="780" spans="1:4" ht="26.4" x14ac:dyDescent="0.25">
      <c r="A780" s="255" t="s">
        <v>1992</v>
      </c>
      <c r="B780" s="254"/>
      <c r="C780" s="255" t="s">
        <v>1993</v>
      </c>
      <c r="D780" s="253" t="s">
        <v>1994</v>
      </c>
    </row>
    <row r="781" spans="1:4" ht="26.4" x14ac:dyDescent="0.25">
      <c r="A781" s="255" t="s">
        <v>1995</v>
      </c>
      <c r="B781" s="254"/>
      <c r="C781" s="255" t="s">
        <v>1996</v>
      </c>
      <c r="D781" s="253"/>
    </row>
    <row r="782" spans="1:4" ht="26.4" x14ac:dyDescent="0.25">
      <c r="A782" s="255" t="s">
        <v>1997</v>
      </c>
      <c r="B782" s="254"/>
      <c r="C782" s="255" t="s">
        <v>1996</v>
      </c>
      <c r="D782" s="253"/>
    </row>
    <row r="783" spans="1:4" x14ac:dyDescent="0.25">
      <c r="A783" s="252" t="s">
        <v>1998</v>
      </c>
      <c r="B783" s="252"/>
      <c r="C783" s="252" t="s">
        <v>1999</v>
      </c>
      <c r="D783" s="253"/>
    </row>
    <row r="784" spans="1:4" x14ac:dyDescent="0.25">
      <c r="A784" s="252" t="s">
        <v>2000</v>
      </c>
      <c r="B784" s="252"/>
      <c r="C784" s="252" t="s">
        <v>2001</v>
      </c>
      <c r="D784" s="253"/>
    </row>
    <row r="785" spans="1:4" x14ac:dyDescent="0.25">
      <c r="A785" s="252" t="s">
        <v>2002</v>
      </c>
      <c r="B785" s="252"/>
      <c r="C785" s="252" t="s">
        <v>2003</v>
      </c>
      <c r="D785" s="253"/>
    </row>
    <row r="786" spans="1:4" x14ac:dyDescent="0.25">
      <c r="A786" s="252" t="s">
        <v>2004</v>
      </c>
      <c r="B786" s="252"/>
      <c r="C786" s="252" t="s">
        <v>2001</v>
      </c>
      <c r="D786" s="253"/>
    </row>
    <row r="787" spans="1:4" x14ac:dyDescent="0.25">
      <c r="A787" s="252" t="s">
        <v>2005</v>
      </c>
      <c r="B787" s="252"/>
      <c r="C787" s="252" t="s">
        <v>2001</v>
      </c>
      <c r="D787" s="253"/>
    </row>
    <row r="788" spans="1:4" x14ac:dyDescent="0.25">
      <c r="A788" s="252" t="s">
        <v>2006</v>
      </c>
      <c r="B788" s="252"/>
      <c r="C788" s="252" t="s">
        <v>2001</v>
      </c>
      <c r="D788" s="253"/>
    </row>
    <row r="789" spans="1:4" x14ac:dyDescent="0.25">
      <c r="A789" s="252" t="s">
        <v>2007</v>
      </c>
      <c r="B789" s="252"/>
      <c r="C789" s="252" t="s">
        <v>2008</v>
      </c>
      <c r="D789" s="253"/>
    </row>
    <row r="790" spans="1:4" ht="26.4" x14ac:dyDescent="0.25">
      <c r="A790" s="252" t="s">
        <v>2009</v>
      </c>
      <c r="B790" s="252"/>
      <c r="C790" s="252" t="s">
        <v>2010</v>
      </c>
      <c r="D790" s="253" t="s">
        <v>891</v>
      </c>
    </row>
    <row r="791" spans="1:4" x14ac:dyDescent="0.25">
      <c r="A791" s="252" t="s">
        <v>2011</v>
      </c>
      <c r="B791" s="252"/>
      <c r="C791" s="252" t="s">
        <v>2012</v>
      </c>
      <c r="D791" s="253"/>
    </row>
    <row r="792" spans="1:4" x14ac:dyDescent="0.25">
      <c r="A792" s="252" t="s">
        <v>2013</v>
      </c>
      <c r="B792" s="252"/>
      <c r="C792" s="252" t="s">
        <v>2012</v>
      </c>
      <c r="D792" s="253"/>
    </row>
    <row r="793" spans="1:4" x14ac:dyDescent="0.25">
      <c r="A793" s="252" t="s">
        <v>2014</v>
      </c>
      <c r="B793" s="252"/>
      <c r="C793" s="252" t="s">
        <v>2015</v>
      </c>
      <c r="D793" s="253"/>
    </row>
    <row r="794" spans="1:4" x14ac:dyDescent="0.25">
      <c r="A794" s="252" t="s">
        <v>2016</v>
      </c>
      <c r="B794" s="252"/>
      <c r="C794" s="252" t="s">
        <v>2015</v>
      </c>
      <c r="D794" s="253"/>
    </row>
    <row r="795" spans="1:4" x14ac:dyDescent="0.25">
      <c r="A795" s="252" t="s">
        <v>2017</v>
      </c>
      <c r="B795" s="252"/>
      <c r="C795" s="252" t="s">
        <v>2018</v>
      </c>
      <c r="D795" s="253"/>
    </row>
    <row r="796" spans="1:4" x14ac:dyDescent="0.25">
      <c r="A796" s="252" t="s">
        <v>2019</v>
      </c>
      <c r="B796" s="252"/>
      <c r="C796" s="252" t="s">
        <v>2018</v>
      </c>
      <c r="D796" s="253"/>
    </row>
    <row r="797" spans="1:4" x14ac:dyDescent="0.25">
      <c r="A797" s="252" t="s">
        <v>2020</v>
      </c>
      <c r="B797" s="252"/>
      <c r="C797" s="252" t="s">
        <v>2021</v>
      </c>
      <c r="D797" s="253"/>
    </row>
    <row r="798" spans="1:4" x14ac:dyDescent="0.25">
      <c r="A798" s="252" t="s">
        <v>2022</v>
      </c>
      <c r="B798" s="252"/>
      <c r="C798" s="252" t="s">
        <v>2023</v>
      </c>
      <c r="D798" s="253"/>
    </row>
    <row r="799" spans="1:4" x14ac:dyDescent="0.25">
      <c r="A799" s="252" t="s">
        <v>2024</v>
      </c>
      <c r="B799" s="252"/>
      <c r="C799" s="252" t="s">
        <v>2025</v>
      </c>
      <c r="D799" s="253" t="s">
        <v>1089</v>
      </c>
    </row>
    <row r="800" spans="1:4" x14ac:dyDescent="0.25">
      <c r="A800" s="256" t="s">
        <v>2026</v>
      </c>
      <c r="B800" s="256"/>
      <c r="C800" s="256" t="s">
        <v>2027</v>
      </c>
      <c r="D800" s="253" t="s">
        <v>1089</v>
      </c>
    </row>
    <row r="801" spans="1:4" x14ac:dyDescent="0.25">
      <c r="A801" s="252" t="s">
        <v>2028</v>
      </c>
      <c r="B801" s="252"/>
      <c r="C801" s="252" t="s">
        <v>1186</v>
      </c>
      <c r="D801" s="253" t="s">
        <v>1973</v>
      </c>
    </row>
    <row r="802" spans="1:4" x14ac:dyDescent="0.25">
      <c r="A802" s="252" t="s">
        <v>2029</v>
      </c>
      <c r="B802" s="252"/>
      <c r="C802" s="252" t="s">
        <v>2030</v>
      </c>
      <c r="D802" s="253"/>
    </row>
    <row r="803" spans="1:4" x14ac:dyDescent="0.25">
      <c r="A803" s="252" t="s">
        <v>2031</v>
      </c>
      <c r="B803" s="252"/>
      <c r="C803" s="252" t="s">
        <v>2032</v>
      </c>
      <c r="D803" s="253"/>
    </row>
    <row r="804" spans="1:4" x14ac:dyDescent="0.25">
      <c r="A804" s="252" t="s">
        <v>2033</v>
      </c>
      <c r="B804" s="252"/>
      <c r="C804" s="252" t="s">
        <v>2034</v>
      </c>
      <c r="D804" s="253"/>
    </row>
    <row r="805" spans="1:4" x14ac:dyDescent="0.25">
      <c r="A805" s="252" t="s">
        <v>2035</v>
      </c>
      <c r="B805" s="252"/>
      <c r="C805" s="252" t="s">
        <v>2036</v>
      </c>
      <c r="D805" s="253"/>
    </row>
    <row r="806" spans="1:4" x14ac:dyDescent="0.25">
      <c r="A806" s="252" t="s">
        <v>2037</v>
      </c>
      <c r="B806" s="252"/>
      <c r="C806" s="252" t="s">
        <v>2038</v>
      </c>
      <c r="D806" s="253"/>
    </row>
    <row r="807" spans="1:4" x14ac:dyDescent="0.25">
      <c r="A807" s="252" t="s">
        <v>2039</v>
      </c>
      <c r="B807" s="252"/>
      <c r="C807" s="252" t="s">
        <v>1642</v>
      </c>
      <c r="D807" s="253"/>
    </row>
    <row r="808" spans="1:4" x14ac:dyDescent="0.25">
      <c r="A808" s="255" t="s">
        <v>2040</v>
      </c>
      <c r="B808" s="254"/>
      <c r="C808" s="255" t="s">
        <v>2041</v>
      </c>
      <c r="D808" s="253"/>
    </row>
    <row r="809" spans="1:4" x14ac:dyDescent="0.25">
      <c r="A809" s="252" t="s">
        <v>2042</v>
      </c>
      <c r="B809" s="252"/>
      <c r="C809" s="252" t="s">
        <v>2043</v>
      </c>
      <c r="D809" s="253"/>
    </row>
    <row r="810" spans="1:4" x14ac:dyDescent="0.25">
      <c r="A810" s="252" t="s">
        <v>2044</v>
      </c>
      <c r="B810" s="252"/>
      <c r="C810" s="252" t="s">
        <v>2045</v>
      </c>
      <c r="D810" s="253"/>
    </row>
    <row r="811" spans="1:4" x14ac:dyDescent="0.25">
      <c r="A811" s="252" t="s">
        <v>2046</v>
      </c>
      <c r="B811" s="252"/>
      <c r="C811" s="252" t="s">
        <v>2047</v>
      </c>
      <c r="D811" s="253"/>
    </row>
    <row r="812" spans="1:4" x14ac:dyDescent="0.25">
      <c r="A812" s="252" t="s">
        <v>2048</v>
      </c>
      <c r="B812" s="252"/>
      <c r="C812" s="252" t="s">
        <v>806</v>
      </c>
      <c r="D812" s="253"/>
    </row>
    <row r="813" spans="1:4" x14ac:dyDescent="0.25">
      <c r="A813" s="252" t="s">
        <v>2049</v>
      </c>
      <c r="B813" s="252"/>
      <c r="C813" s="252" t="s">
        <v>2050</v>
      </c>
      <c r="D813" s="253"/>
    </row>
    <row r="814" spans="1:4" x14ac:dyDescent="0.25">
      <c r="A814" s="252" t="s">
        <v>2051</v>
      </c>
      <c r="B814" s="252"/>
      <c r="C814" s="252" t="s">
        <v>2052</v>
      </c>
      <c r="D814" s="253"/>
    </row>
    <row r="815" spans="1:4" x14ac:dyDescent="0.25">
      <c r="A815" s="252" t="s">
        <v>2053</v>
      </c>
      <c r="B815" s="252"/>
      <c r="C815" s="252" t="s">
        <v>1877</v>
      </c>
      <c r="D815" s="253" t="s">
        <v>1089</v>
      </c>
    </row>
    <row r="816" spans="1:4" x14ac:dyDescent="0.25">
      <c r="A816" s="252" t="s">
        <v>2054</v>
      </c>
      <c r="B816" s="252"/>
      <c r="C816" s="252" t="s">
        <v>2055</v>
      </c>
      <c r="D816" s="253"/>
    </row>
    <row r="817" spans="1:4" x14ac:dyDescent="0.25">
      <c r="A817" s="252" t="s">
        <v>2056</v>
      </c>
      <c r="B817" s="252"/>
      <c r="C817" s="252" t="s">
        <v>2057</v>
      </c>
      <c r="D817" s="253"/>
    </row>
    <row r="818" spans="1:4" x14ac:dyDescent="0.25">
      <c r="A818" s="252" t="s">
        <v>2058</v>
      </c>
      <c r="B818" s="252"/>
      <c r="C818" s="252" t="s">
        <v>2059</v>
      </c>
      <c r="D818" s="253"/>
    </row>
    <row r="819" spans="1:4" x14ac:dyDescent="0.25">
      <c r="A819" s="252" t="s">
        <v>2060</v>
      </c>
      <c r="B819" s="252"/>
      <c r="C819" s="252" t="s">
        <v>2061</v>
      </c>
      <c r="D819" s="253"/>
    </row>
    <row r="820" spans="1:4" x14ac:dyDescent="0.25">
      <c r="A820" s="252" t="s">
        <v>2062</v>
      </c>
      <c r="B820" s="252"/>
      <c r="C820" s="252" t="s">
        <v>2063</v>
      </c>
      <c r="D820" s="253"/>
    </row>
    <row r="821" spans="1:4" x14ac:dyDescent="0.25">
      <c r="A821" s="252" t="s">
        <v>2064</v>
      </c>
      <c r="B821" s="252"/>
      <c r="C821" s="261" t="s">
        <v>1676</v>
      </c>
      <c r="D821" s="253"/>
    </row>
    <row r="822" spans="1:4" x14ac:dyDescent="0.25">
      <c r="A822" s="252" t="s">
        <v>2065</v>
      </c>
      <c r="B822" s="252"/>
      <c r="C822" s="252" t="s">
        <v>2066</v>
      </c>
      <c r="D822" s="253"/>
    </row>
    <row r="823" spans="1:4" x14ac:dyDescent="0.25">
      <c r="A823" s="252" t="s">
        <v>2067</v>
      </c>
      <c r="B823" s="252"/>
      <c r="C823" s="252" t="s">
        <v>2068</v>
      </c>
      <c r="D823" s="253"/>
    </row>
    <row r="824" spans="1:4" x14ac:dyDescent="0.25">
      <c r="A824" s="252" t="s">
        <v>2069</v>
      </c>
      <c r="B824" s="252"/>
      <c r="C824" s="252" t="s">
        <v>2068</v>
      </c>
      <c r="D824" s="253"/>
    </row>
    <row r="825" spans="1:4" x14ac:dyDescent="0.25">
      <c r="A825" s="252" t="s">
        <v>2070</v>
      </c>
      <c r="B825" s="252"/>
      <c r="C825" s="252" t="s">
        <v>2071</v>
      </c>
      <c r="D825" s="253" t="s">
        <v>2072</v>
      </c>
    </row>
    <row r="826" spans="1:4" x14ac:dyDescent="0.25">
      <c r="A826" s="255" t="s">
        <v>2073</v>
      </c>
      <c r="B826" s="254"/>
      <c r="C826" s="255" t="s">
        <v>2074</v>
      </c>
      <c r="D826" s="253"/>
    </row>
    <row r="827" spans="1:4" x14ac:dyDescent="0.25">
      <c r="A827" s="252" t="s">
        <v>2075</v>
      </c>
      <c r="B827" s="252"/>
      <c r="C827" s="252" t="s">
        <v>2076</v>
      </c>
      <c r="D827" s="253"/>
    </row>
    <row r="828" spans="1:4" x14ac:dyDescent="0.25">
      <c r="A828" s="252" t="s">
        <v>2077</v>
      </c>
      <c r="B828" s="252"/>
      <c r="C828" s="259" t="s">
        <v>2078</v>
      </c>
      <c r="D828" s="253"/>
    </row>
    <row r="829" spans="1:4" x14ac:dyDescent="0.25">
      <c r="A829" s="255" t="s">
        <v>2079</v>
      </c>
      <c r="B829" s="254"/>
      <c r="C829" s="255" t="s">
        <v>2080</v>
      </c>
      <c r="D829" s="253"/>
    </row>
    <row r="830" spans="1:4" x14ac:dyDescent="0.25">
      <c r="A830" s="252" t="s">
        <v>2081</v>
      </c>
      <c r="B830" s="252"/>
      <c r="C830" s="252" t="s">
        <v>2082</v>
      </c>
      <c r="D830" s="253"/>
    </row>
    <row r="831" spans="1:4" x14ac:dyDescent="0.25">
      <c r="A831" s="252" t="s">
        <v>2083</v>
      </c>
      <c r="B831" s="252"/>
      <c r="C831" s="252" t="s">
        <v>2084</v>
      </c>
      <c r="D831" s="253"/>
    </row>
    <row r="832" spans="1:4" x14ac:dyDescent="0.25">
      <c r="A832" s="252" t="s">
        <v>2085</v>
      </c>
      <c r="B832" s="252"/>
      <c r="C832" s="252" t="s">
        <v>2086</v>
      </c>
      <c r="D832" s="253"/>
    </row>
    <row r="833" spans="1:4" x14ac:dyDescent="0.25">
      <c r="A833" s="252" t="s">
        <v>2087</v>
      </c>
      <c r="B833" s="252"/>
      <c r="C833" s="252" t="s">
        <v>2088</v>
      </c>
      <c r="D833" s="253"/>
    </row>
    <row r="834" spans="1:4" x14ac:dyDescent="0.25">
      <c r="A834" s="255" t="s">
        <v>2089</v>
      </c>
      <c r="B834" s="254"/>
      <c r="C834" s="255" t="s">
        <v>2090</v>
      </c>
      <c r="D834" s="253"/>
    </row>
    <row r="835" spans="1:4" x14ac:dyDescent="0.25">
      <c r="A835" s="252" t="s">
        <v>2091</v>
      </c>
      <c r="B835" s="252"/>
      <c r="C835" s="252" t="s">
        <v>2092</v>
      </c>
      <c r="D835" s="253"/>
    </row>
    <row r="836" spans="1:4" x14ac:dyDescent="0.25">
      <c r="A836" s="252" t="s">
        <v>2093</v>
      </c>
      <c r="B836" s="252"/>
      <c r="C836" s="252" t="s">
        <v>2092</v>
      </c>
      <c r="D836" s="253"/>
    </row>
    <row r="837" spans="1:4" x14ac:dyDescent="0.25">
      <c r="A837" s="252" t="s">
        <v>2094</v>
      </c>
      <c r="B837" s="252"/>
      <c r="C837" s="252" t="s">
        <v>2095</v>
      </c>
      <c r="D837" s="253"/>
    </row>
    <row r="838" spans="1:4" x14ac:dyDescent="0.25">
      <c r="A838" s="255" t="s">
        <v>2096</v>
      </c>
      <c r="B838" s="254"/>
      <c r="C838" s="255" t="s">
        <v>2097</v>
      </c>
      <c r="D838" s="253"/>
    </row>
    <row r="839" spans="1:4" x14ac:dyDescent="0.25">
      <c r="A839" s="252" t="s">
        <v>2098</v>
      </c>
      <c r="B839" s="252"/>
      <c r="C839" s="252" t="s">
        <v>2099</v>
      </c>
      <c r="D839" s="253"/>
    </row>
    <row r="840" spans="1:4" x14ac:dyDescent="0.25">
      <c r="A840" s="252" t="s">
        <v>2100</v>
      </c>
      <c r="B840" s="252"/>
      <c r="C840" s="252" t="s">
        <v>2101</v>
      </c>
      <c r="D840" s="253"/>
    </row>
    <row r="841" spans="1:4" x14ac:dyDescent="0.25">
      <c r="A841" s="252" t="s">
        <v>2102</v>
      </c>
      <c r="B841" s="252"/>
      <c r="C841" s="252" t="s">
        <v>2103</v>
      </c>
      <c r="D841" s="253"/>
    </row>
    <row r="842" spans="1:4" x14ac:dyDescent="0.25">
      <c r="A842" s="252" t="s">
        <v>2104</v>
      </c>
      <c r="B842" s="252"/>
      <c r="C842" s="252" t="s">
        <v>2105</v>
      </c>
      <c r="D842" s="253"/>
    </row>
    <row r="843" spans="1:4" x14ac:dyDescent="0.25">
      <c r="A843" s="252" t="s">
        <v>2106</v>
      </c>
      <c r="B843" s="252"/>
      <c r="C843" s="252" t="s">
        <v>2107</v>
      </c>
      <c r="D843" s="253"/>
    </row>
    <row r="844" spans="1:4" x14ac:dyDescent="0.25">
      <c r="A844" s="252" t="s">
        <v>2108</v>
      </c>
      <c r="B844" s="252"/>
      <c r="C844" s="252" t="s">
        <v>2109</v>
      </c>
      <c r="D844" s="253"/>
    </row>
    <row r="845" spans="1:4" x14ac:dyDescent="0.25">
      <c r="A845" s="252" t="s">
        <v>2110</v>
      </c>
      <c r="B845" s="252"/>
      <c r="C845" s="252" t="s">
        <v>2111</v>
      </c>
      <c r="D845" s="253" t="s">
        <v>1913</v>
      </c>
    </row>
    <row r="846" spans="1:4" x14ac:dyDescent="0.25">
      <c r="A846" s="252" t="s">
        <v>2112</v>
      </c>
      <c r="B846" s="252"/>
      <c r="C846" s="252" t="s">
        <v>2113</v>
      </c>
      <c r="D846" s="253"/>
    </row>
    <row r="847" spans="1:4" x14ac:dyDescent="0.25">
      <c r="A847" s="252" t="s">
        <v>2114</v>
      </c>
      <c r="B847" s="252"/>
      <c r="C847" s="252" t="s">
        <v>1457</v>
      </c>
      <c r="D847" s="253"/>
    </row>
    <row r="848" spans="1:4" ht="26.4" x14ac:dyDescent="0.25">
      <c r="A848" s="252" t="s">
        <v>2115</v>
      </c>
      <c r="B848" s="252"/>
      <c r="C848" s="252" t="s">
        <v>2116</v>
      </c>
      <c r="D848" s="253"/>
    </row>
    <row r="849" spans="1:4" x14ac:dyDescent="0.25">
      <c r="A849" s="252" t="s">
        <v>2117</v>
      </c>
      <c r="B849" s="252"/>
      <c r="C849" s="252" t="s">
        <v>2118</v>
      </c>
      <c r="D849" s="253" t="s">
        <v>1913</v>
      </c>
    </row>
    <row r="850" spans="1:4" x14ac:dyDescent="0.25">
      <c r="A850" s="252" t="s">
        <v>2119</v>
      </c>
      <c r="B850" s="252"/>
      <c r="C850" s="252" t="s">
        <v>2120</v>
      </c>
      <c r="D850" s="253"/>
    </row>
    <row r="851" spans="1:4" x14ac:dyDescent="0.25">
      <c r="A851" s="252" t="s">
        <v>2121</v>
      </c>
      <c r="B851" s="252"/>
      <c r="C851" s="252" t="s">
        <v>2122</v>
      </c>
      <c r="D851" s="253"/>
    </row>
    <row r="852" spans="1:4" x14ac:dyDescent="0.25">
      <c r="A852" s="252" t="s">
        <v>2123</v>
      </c>
      <c r="B852" s="252"/>
      <c r="C852" s="252" t="s">
        <v>2124</v>
      </c>
      <c r="D852" s="253"/>
    </row>
    <row r="853" spans="1:4" x14ac:dyDescent="0.25">
      <c r="A853" s="252" t="s">
        <v>2125</v>
      </c>
      <c r="B853" s="252"/>
      <c r="C853" s="252" t="s">
        <v>988</v>
      </c>
      <c r="D853" s="253" t="s">
        <v>891</v>
      </c>
    </row>
    <row r="854" spans="1:4" x14ac:dyDescent="0.25">
      <c r="A854" s="252" t="s">
        <v>2126</v>
      </c>
      <c r="B854" s="252"/>
      <c r="C854" s="252" t="s">
        <v>2127</v>
      </c>
      <c r="D854" s="253"/>
    </row>
    <row r="855" spans="1:4" x14ac:dyDescent="0.25">
      <c r="A855" s="252" t="s">
        <v>2128</v>
      </c>
      <c r="B855" s="252"/>
      <c r="C855" s="252" t="s">
        <v>2057</v>
      </c>
      <c r="D855" s="253"/>
    </row>
    <row r="856" spans="1:4" ht="26.4" x14ac:dyDescent="0.25">
      <c r="A856" s="252" t="s">
        <v>2129</v>
      </c>
      <c r="B856" s="252"/>
      <c r="C856" s="252" t="s">
        <v>2130</v>
      </c>
      <c r="D856" s="253"/>
    </row>
    <row r="857" spans="1:4" ht="26.4" x14ac:dyDescent="0.25">
      <c r="A857" s="252" t="s">
        <v>2131</v>
      </c>
      <c r="B857" s="252"/>
      <c r="C857" s="252" t="s">
        <v>2132</v>
      </c>
      <c r="D857" s="253"/>
    </row>
    <row r="858" spans="1:4" x14ac:dyDescent="0.25">
      <c r="A858" s="252" t="s">
        <v>2133</v>
      </c>
      <c r="B858" s="252"/>
      <c r="C858" s="252" t="s">
        <v>2134</v>
      </c>
      <c r="D858" s="253"/>
    </row>
    <row r="859" spans="1:4" x14ac:dyDescent="0.25">
      <c r="A859" s="252" t="s">
        <v>2135</v>
      </c>
      <c r="B859" s="252"/>
      <c r="C859" s="252" t="s">
        <v>2136</v>
      </c>
      <c r="D859" s="253" t="s">
        <v>1973</v>
      </c>
    </row>
    <row r="860" spans="1:4" ht="26.4" x14ac:dyDescent="0.25">
      <c r="A860" s="252" t="s">
        <v>2137</v>
      </c>
      <c r="B860" s="252"/>
      <c r="C860" s="252" t="s">
        <v>2116</v>
      </c>
      <c r="D860" s="253"/>
    </row>
    <row r="861" spans="1:4" ht="26.4" x14ac:dyDescent="0.25">
      <c r="A861" s="252" t="s">
        <v>2138</v>
      </c>
      <c r="B861" s="252"/>
      <c r="C861" s="252" t="s">
        <v>2139</v>
      </c>
      <c r="D861" s="253"/>
    </row>
    <row r="862" spans="1:4" x14ac:dyDescent="0.25">
      <c r="A862" s="252" t="s">
        <v>2140</v>
      </c>
      <c r="B862" s="252"/>
      <c r="C862" s="252" t="s">
        <v>1267</v>
      </c>
      <c r="D862" s="253"/>
    </row>
    <row r="863" spans="1:4" ht="26.4" x14ac:dyDescent="0.25">
      <c r="A863" s="252" t="s">
        <v>2141</v>
      </c>
      <c r="B863" s="252"/>
      <c r="C863" s="252" t="s">
        <v>2142</v>
      </c>
      <c r="D863" s="253" t="s">
        <v>2143</v>
      </c>
    </row>
    <row r="864" spans="1:4" x14ac:dyDescent="0.25">
      <c r="A864" s="252" t="s">
        <v>2144</v>
      </c>
      <c r="B864" s="252"/>
      <c r="C864" s="252" t="s">
        <v>2145</v>
      </c>
      <c r="D864" s="253" t="s">
        <v>1913</v>
      </c>
    </row>
    <row r="865" spans="1:4" x14ac:dyDescent="0.25">
      <c r="A865" s="252" t="s">
        <v>2146</v>
      </c>
      <c r="B865" s="252"/>
      <c r="C865" s="252" t="s">
        <v>2147</v>
      </c>
      <c r="D865" s="253" t="s">
        <v>1089</v>
      </c>
    </row>
    <row r="866" spans="1:4" x14ac:dyDescent="0.25">
      <c r="A866" s="252" t="s">
        <v>2148</v>
      </c>
      <c r="B866" s="252"/>
      <c r="C866" s="252" t="s">
        <v>943</v>
      </c>
      <c r="D866" s="260" t="s">
        <v>944</v>
      </c>
    </row>
    <row r="867" spans="1:4" x14ac:dyDescent="0.25">
      <c r="A867" s="252" t="s">
        <v>2149</v>
      </c>
      <c r="B867" s="252"/>
      <c r="C867" s="252" t="s">
        <v>2012</v>
      </c>
      <c r="D867" s="260" t="s">
        <v>944</v>
      </c>
    </row>
    <row r="868" spans="1:4" x14ac:dyDescent="0.25">
      <c r="A868" s="255" t="s">
        <v>2150</v>
      </c>
      <c r="B868" s="254"/>
      <c r="C868" s="255" t="s">
        <v>2001</v>
      </c>
      <c r="D868" s="260" t="s">
        <v>944</v>
      </c>
    </row>
    <row r="869" spans="1:4" x14ac:dyDescent="0.25">
      <c r="A869" s="252" t="s">
        <v>2151</v>
      </c>
      <c r="B869" s="252"/>
      <c r="C869" s="252" t="s">
        <v>643</v>
      </c>
      <c r="D869" s="260" t="s">
        <v>944</v>
      </c>
    </row>
    <row r="870" spans="1:4" x14ac:dyDescent="0.25">
      <c r="A870" s="252" t="s">
        <v>2152</v>
      </c>
      <c r="B870" s="252"/>
      <c r="C870" s="252" t="s">
        <v>2153</v>
      </c>
      <c r="D870" s="253"/>
    </row>
    <row r="871" spans="1:4" x14ac:dyDescent="0.25">
      <c r="A871" s="252" t="s">
        <v>2154</v>
      </c>
      <c r="B871" s="252"/>
      <c r="C871" s="252" t="s">
        <v>2155</v>
      </c>
      <c r="D871" s="253"/>
    </row>
    <row r="872" spans="1:4" x14ac:dyDescent="0.25">
      <c r="A872" s="252" t="s">
        <v>2156</v>
      </c>
      <c r="B872" s="252"/>
      <c r="C872" s="252" t="s">
        <v>2157</v>
      </c>
      <c r="D872" s="253"/>
    </row>
    <row r="873" spans="1:4" x14ac:dyDescent="0.25">
      <c r="A873" s="252" t="s">
        <v>2158</v>
      </c>
      <c r="B873" s="252"/>
      <c r="C873" s="252" t="s">
        <v>2159</v>
      </c>
      <c r="D873" s="253"/>
    </row>
    <row r="874" spans="1:4" x14ac:dyDescent="0.25">
      <c r="A874" s="252" t="s">
        <v>2160</v>
      </c>
      <c r="B874" s="252"/>
      <c r="C874" s="252" t="s">
        <v>2161</v>
      </c>
      <c r="D874" s="253"/>
    </row>
    <row r="875" spans="1:4" ht="26.4" x14ac:dyDescent="0.25">
      <c r="A875" s="252" t="s">
        <v>2162</v>
      </c>
      <c r="B875" s="252"/>
      <c r="C875" s="252" t="s">
        <v>2163</v>
      </c>
      <c r="D875" s="253"/>
    </row>
    <row r="876" spans="1:4" x14ac:dyDescent="0.25">
      <c r="A876" s="252" t="s">
        <v>2164</v>
      </c>
      <c r="B876" s="252"/>
      <c r="C876" s="252" t="s">
        <v>2165</v>
      </c>
      <c r="D876" s="253"/>
    </row>
    <row r="877" spans="1:4" x14ac:dyDescent="0.25">
      <c r="A877" s="252" t="s">
        <v>2166</v>
      </c>
      <c r="B877" s="252"/>
      <c r="C877" s="252" t="s">
        <v>2167</v>
      </c>
      <c r="D877" s="253"/>
    </row>
    <row r="878" spans="1:4" x14ac:dyDescent="0.25">
      <c r="A878" s="252" t="s">
        <v>2168</v>
      </c>
      <c r="B878" s="252"/>
      <c r="C878" s="252" t="s">
        <v>2169</v>
      </c>
      <c r="D878" s="253" t="s">
        <v>746</v>
      </c>
    </row>
    <row r="879" spans="1:4" x14ac:dyDescent="0.25">
      <c r="A879" s="252" t="s">
        <v>2170</v>
      </c>
      <c r="B879" s="252"/>
      <c r="C879" s="252" t="s">
        <v>1879</v>
      </c>
      <c r="D879" s="253" t="s">
        <v>1089</v>
      </c>
    </row>
    <row r="880" spans="1:4" x14ac:dyDescent="0.25">
      <c r="A880" s="252" t="s">
        <v>2171</v>
      </c>
      <c r="B880" s="252"/>
      <c r="C880" s="252" t="s">
        <v>1881</v>
      </c>
      <c r="D880" s="253" t="s">
        <v>947</v>
      </c>
    </row>
    <row r="881" spans="1:4" ht="26.4" x14ac:dyDescent="0.25">
      <c r="A881" s="252" t="s">
        <v>2172</v>
      </c>
      <c r="B881" s="252"/>
      <c r="C881" s="252" t="s">
        <v>1554</v>
      </c>
      <c r="D881" s="253"/>
    </row>
    <row r="882" spans="1:4" x14ac:dyDescent="0.25">
      <c r="A882" s="252" t="s">
        <v>2173</v>
      </c>
      <c r="B882" s="252"/>
      <c r="C882" s="252" t="s">
        <v>2174</v>
      </c>
      <c r="D882" s="253"/>
    </row>
    <row r="883" spans="1:4" x14ac:dyDescent="0.25">
      <c r="A883" s="255" t="s">
        <v>2175</v>
      </c>
      <c r="B883" s="254"/>
      <c r="C883" s="255" t="s">
        <v>2176</v>
      </c>
      <c r="D883" s="253"/>
    </row>
    <row r="884" spans="1:4" x14ac:dyDescent="0.25">
      <c r="A884" s="252" t="s">
        <v>2177</v>
      </c>
      <c r="B884" s="252"/>
      <c r="C884" s="252" t="s">
        <v>653</v>
      </c>
      <c r="D884" s="253"/>
    </row>
    <row r="885" spans="1:4" ht="26.4" x14ac:dyDescent="0.25">
      <c r="A885" s="252" t="s">
        <v>2178</v>
      </c>
      <c r="B885" s="252"/>
      <c r="C885" s="252" t="s">
        <v>2179</v>
      </c>
      <c r="D885" s="253"/>
    </row>
    <row r="886" spans="1:4" x14ac:dyDescent="0.25">
      <c r="A886" s="252" t="s">
        <v>2180</v>
      </c>
      <c r="B886" s="252"/>
      <c r="C886" s="252" t="s">
        <v>2181</v>
      </c>
      <c r="D886" s="253"/>
    </row>
    <row r="887" spans="1:4" x14ac:dyDescent="0.25">
      <c r="A887" s="252" t="s">
        <v>2182</v>
      </c>
      <c r="B887" s="252"/>
      <c r="C887" s="252" t="s">
        <v>2183</v>
      </c>
      <c r="D887" s="253"/>
    </row>
    <row r="888" spans="1:4" x14ac:dyDescent="0.25">
      <c r="A888" s="252" t="s">
        <v>2184</v>
      </c>
      <c r="B888" s="252"/>
      <c r="C888" s="252" t="s">
        <v>2185</v>
      </c>
      <c r="D888" s="253"/>
    </row>
    <row r="889" spans="1:4" x14ac:dyDescent="0.25">
      <c r="A889" s="255" t="s">
        <v>2186</v>
      </c>
      <c r="B889" s="254"/>
      <c r="C889" s="255" t="s">
        <v>2187</v>
      </c>
      <c r="D889" s="253"/>
    </row>
    <row r="890" spans="1:4" x14ac:dyDescent="0.25">
      <c r="A890" s="252" t="s">
        <v>2188</v>
      </c>
      <c r="B890" s="252"/>
      <c r="C890" s="252" t="s">
        <v>2189</v>
      </c>
      <c r="D890" s="253"/>
    </row>
    <row r="891" spans="1:4" ht="26.4" x14ac:dyDescent="0.25">
      <c r="A891" s="252" t="s">
        <v>2190</v>
      </c>
      <c r="B891" s="252"/>
      <c r="C891" s="252" t="s">
        <v>2191</v>
      </c>
      <c r="D891" s="253"/>
    </row>
    <row r="892" spans="1:4" x14ac:dyDescent="0.25">
      <c r="A892" s="252" t="s">
        <v>2192</v>
      </c>
      <c r="B892" s="252"/>
      <c r="C892" s="252" t="s">
        <v>1267</v>
      </c>
      <c r="D892" s="253"/>
    </row>
    <row r="893" spans="1:4" x14ac:dyDescent="0.25">
      <c r="A893" s="255" t="s">
        <v>2193</v>
      </c>
      <c r="B893" s="254"/>
      <c r="C893" s="255" t="s">
        <v>2194</v>
      </c>
      <c r="D893" s="253"/>
    </row>
    <row r="894" spans="1:4" x14ac:dyDescent="0.25">
      <c r="A894" s="255" t="s">
        <v>2195</v>
      </c>
      <c r="B894" s="254"/>
      <c r="C894" s="255" t="s">
        <v>2196</v>
      </c>
      <c r="D894" s="253"/>
    </row>
    <row r="895" spans="1:4" x14ac:dyDescent="0.25">
      <c r="A895" s="252" t="s">
        <v>2197</v>
      </c>
      <c r="B895" s="252"/>
      <c r="C895" s="252" t="s">
        <v>2198</v>
      </c>
      <c r="D895" s="253"/>
    </row>
    <row r="896" spans="1:4" ht="26.4" x14ac:dyDescent="0.25">
      <c r="A896" s="252" t="s">
        <v>2199</v>
      </c>
      <c r="B896" s="252"/>
      <c r="C896" s="252" t="s">
        <v>2200</v>
      </c>
      <c r="D896" s="253"/>
    </row>
    <row r="897" spans="1:4" x14ac:dyDescent="0.25">
      <c r="A897" s="252" t="s">
        <v>2201</v>
      </c>
      <c r="B897" s="252"/>
      <c r="C897" s="252" t="s">
        <v>2202</v>
      </c>
      <c r="D897" s="253"/>
    </row>
    <row r="898" spans="1:4" x14ac:dyDescent="0.25">
      <c r="A898" s="252" t="s">
        <v>2203</v>
      </c>
      <c r="B898" s="252"/>
      <c r="C898" s="252" t="s">
        <v>2204</v>
      </c>
      <c r="D898" s="253"/>
    </row>
    <row r="899" spans="1:4" x14ac:dyDescent="0.25">
      <c r="A899" s="252" t="s">
        <v>2205</v>
      </c>
      <c r="B899" s="252"/>
      <c r="C899" s="252" t="s">
        <v>2206</v>
      </c>
      <c r="D899" s="253"/>
    </row>
    <row r="900" spans="1:4" x14ac:dyDescent="0.25">
      <c r="A900" s="252" t="s">
        <v>2207</v>
      </c>
      <c r="B900" s="252"/>
      <c r="C900" s="252" t="s">
        <v>1392</v>
      </c>
      <c r="D900" s="253"/>
    </row>
    <row r="901" spans="1:4" x14ac:dyDescent="0.25">
      <c r="A901" s="252" t="s">
        <v>2208</v>
      </c>
      <c r="B901" s="252"/>
      <c r="C901" s="252" t="s">
        <v>2209</v>
      </c>
      <c r="D901" s="253"/>
    </row>
    <row r="902" spans="1:4" x14ac:dyDescent="0.25">
      <c r="A902" s="252" t="s">
        <v>2210</v>
      </c>
      <c r="B902" s="252"/>
      <c r="C902" s="252" t="s">
        <v>2211</v>
      </c>
      <c r="D902" s="253"/>
    </row>
    <row r="903" spans="1:4" x14ac:dyDescent="0.25">
      <c r="A903" s="252" t="s">
        <v>2212</v>
      </c>
      <c r="B903" s="252"/>
      <c r="C903" s="252" t="s">
        <v>722</v>
      </c>
      <c r="D903" s="253"/>
    </row>
    <row r="904" spans="1:4" ht="26.4" x14ac:dyDescent="0.25">
      <c r="A904" s="252" t="s">
        <v>2213</v>
      </c>
      <c r="B904" s="252"/>
      <c r="C904" s="252" t="s">
        <v>2214</v>
      </c>
      <c r="D904" s="253" t="s">
        <v>746</v>
      </c>
    </row>
    <row r="905" spans="1:4" x14ac:dyDescent="0.25">
      <c r="A905" s="252" t="s">
        <v>2215</v>
      </c>
      <c r="B905" s="252"/>
      <c r="C905" s="252" t="s">
        <v>2216</v>
      </c>
      <c r="D905" s="253"/>
    </row>
    <row r="906" spans="1:4" x14ac:dyDescent="0.25">
      <c r="A906" s="252" t="s">
        <v>2217</v>
      </c>
      <c r="B906" s="252"/>
      <c r="C906" s="252" t="s">
        <v>2218</v>
      </c>
      <c r="D906" s="253"/>
    </row>
    <row r="907" spans="1:4" x14ac:dyDescent="0.25">
      <c r="A907" s="252" t="s">
        <v>2219</v>
      </c>
      <c r="B907" s="252"/>
      <c r="C907" s="252" t="s">
        <v>2220</v>
      </c>
      <c r="D907" s="253"/>
    </row>
    <row r="908" spans="1:4" x14ac:dyDescent="0.25">
      <c r="A908" s="252" t="s">
        <v>2221</v>
      </c>
      <c r="B908" s="252"/>
      <c r="C908" s="252" t="s">
        <v>2222</v>
      </c>
      <c r="D908" s="253"/>
    </row>
    <row r="909" spans="1:4" x14ac:dyDescent="0.25">
      <c r="A909" s="252" t="s">
        <v>2223</v>
      </c>
      <c r="B909" s="252"/>
      <c r="C909" s="252" t="s">
        <v>2224</v>
      </c>
      <c r="D909" s="253"/>
    </row>
    <row r="910" spans="1:4" x14ac:dyDescent="0.25">
      <c r="A910" s="252" t="s">
        <v>2225</v>
      </c>
      <c r="B910" s="252"/>
      <c r="C910" s="252" t="s">
        <v>2226</v>
      </c>
      <c r="D910" s="253"/>
    </row>
    <row r="911" spans="1:4" x14ac:dyDescent="0.25">
      <c r="A911" s="252" t="s">
        <v>2227</v>
      </c>
      <c r="B911" s="252"/>
      <c r="C911" s="252" t="s">
        <v>2228</v>
      </c>
      <c r="D911" s="253"/>
    </row>
    <row r="912" spans="1:4" x14ac:dyDescent="0.25">
      <c r="A912" s="252" t="s">
        <v>2229</v>
      </c>
      <c r="B912" s="252"/>
      <c r="C912" s="252" t="s">
        <v>2230</v>
      </c>
      <c r="D912" s="253"/>
    </row>
    <row r="913" spans="1:4" x14ac:dyDescent="0.25">
      <c r="A913" s="252" t="s">
        <v>2231</v>
      </c>
      <c r="B913" s="252"/>
      <c r="C913" s="252" t="s">
        <v>1798</v>
      </c>
      <c r="D913" s="253"/>
    </row>
    <row r="914" spans="1:4" x14ac:dyDescent="0.25">
      <c r="A914" s="252" t="s">
        <v>2232</v>
      </c>
      <c r="B914" s="252"/>
      <c r="C914" s="252" t="s">
        <v>1021</v>
      </c>
      <c r="D914" s="253" t="s">
        <v>1973</v>
      </c>
    </row>
    <row r="915" spans="1:4" x14ac:dyDescent="0.25">
      <c r="A915" s="252" t="s">
        <v>2233</v>
      </c>
      <c r="B915" s="252"/>
      <c r="C915" s="252" t="s">
        <v>2234</v>
      </c>
      <c r="D915" s="253"/>
    </row>
    <row r="916" spans="1:4" x14ac:dyDescent="0.25">
      <c r="A916" s="252" t="s">
        <v>2235</v>
      </c>
      <c r="B916" s="252"/>
      <c r="C916" s="252" t="s">
        <v>2236</v>
      </c>
      <c r="D916" s="253"/>
    </row>
    <row r="917" spans="1:4" x14ac:dyDescent="0.25">
      <c r="A917" s="252" t="s">
        <v>2237</v>
      </c>
      <c r="B917" s="252"/>
      <c r="C917" s="252" t="s">
        <v>2238</v>
      </c>
      <c r="D917" s="253"/>
    </row>
    <row r="918" spans="1:4" x14ac:dyDescent="0.25">
      <c r="A918" s="252" t="s">
        <v>2239</v>
      </c>
      <c r="B918" s="252"/>
      <c r="C918" s="252" t="s">
        <v>2240</v>
      </c>
      <c r="D918" s="253"/>
    </row>
    <row r="919" spans="1:4" x14ac:dyDescent="0.25">
      <c r="A919" s="252" t="s">
        <v>2241</v>
      </c>
      <c r="B919" s="252"/>
      <c r="C919" s="252" t="s">
        <v>2242</v>
      </c>
      <c r="D919" s="253"/>
    </row>
    <row r="920" spans="1:4" x14ac:dyDescent="0.25">
      <c r="A920" s="252" t="s">
        <v>2243</v>
      </c>
      <c r="B920" s="252"/>
      <c r="C920" s="252" t="s">
        <v>2244</v>
      </c>
      <c r="D920" s="253"/>
    </row>
    <row r="921" spans="1:4" x14ac:dyDescent="0.25">
      <c r="A921" s="252" t="s">
        <v>2245</v>
      </c>
      <c r="B921" s="252"/>
      <c r="C921" s="252" t="s">
        <v>1586</v>
      </c>
      <c r="D921" s="253"/>
    </row>
    <row r="922" spans="1:4" x14ac:dyDescent="0.25">
      <c r="A922" s="252" t="s">
        <v>2246</v>
      </c>
      <c r="B922" s="252"/>
      <c r="C922" s="252" t="s">
        <v>2247</v>
      </c>
      <c r="D922" s="253"/>
    </row>
    <row r="923" spans="1:4" x14ac:dyDescent="0.25">
      <c r="A923" s="252" t="s">
        <v>2248</v>
      </c>
      <c r="B923" s="252"/>
      <c r="C923" s="252" t="s">
        <v>2249</v>
      </c>
      <c r="D923" s="253"/>
    </row>
    <row r="924" spans="1:4" ht="26.4" x14ac:dyDescent="0.25">
      <c r="A924" s="252" t="s">
        <v>2250</v>
      </c>
      <c r="B924" s="252"/>
      <c r="C924" s="252" t="s">
        <v>2251</v>
      </c>
      <c r="D924" s="253"/>
    </row>
    <row r="925" spans="1:4" x14ac:dyDescent="0.25">
      <c r="A925" s="252" t="s">
        <v>2252</v>
      </c>
      <c r="B925" s="252"/>
      <c r="C925" s="252" t="s">
        <v>1566</v>
      </c>
      <c r="D925" s="253"/>
    </row>
    <row r="926" spans="1:4" x14ac:dyDescent="0.25">
      <c r="A926" s="255" t="s">
        <v>2253</v>
      </c>
      <c r="B926" s="254"/>
      <c r="C926" s="255" t="s">
        <v>2254</v>
      </c>
      <c r="D926" s="253"/>
    </row>
    <row r="927" spans="1:4" x14ac:dyDescent="0.25">
      <c r="A927" s="252" t="s">
        <v>2255</v>
      </c>
      <c r="B927" s="252"/>
      <c r="C927" s="261" t="s">
        <v>1872</v>
      </c>
      <c r="D927" s="253"/>
    </row>
    <row r="928" spans="1:4" x14ac:dyDescent="0.25">
      <c r="A928" s="252" t="s">
        <v>2256</v>
      </c>
      <c r="B928" s="252"/>
      <c r="C928" s="252" t="s">
        <v>2257</v>
      </c>
      <c r="D928" s="253"/>
    </row>
    <row r="929" spans="1:4" ht="26.4" x14ac:dyDescent="0.25">
      <c r="A929" s="255" t="s">
        <v>2258</v>
      </c>
      <c r="B929" s="254"/>
      <c r="C929" s="255" t="s">
        <v>2259</v>
      </c>
      <c r="D929" s="253"/>
    </row>
    <row r="930" spans="1:4" ht="26.4" x14ac:dyDescent="0.25">
      <c r="A930" s="252" t="s">
        <v>2260</v>
      </c>
      <c r="B930" s="252"/>
      <c r="C930" s="252" t="s">
        <v>2261</v>
      </c>
      <c r="D930" s="253" t="s">
        <v>891</v>
      </c>
    </row>
    <row r="931" spans="1:4" ht="26.4" x14ac:dyDescent="0.25">
      <c r="A931" s="252" t="s">
        <v>2262</v>
      </c>
      <c r="B931" s="252"/>
      <c r="C931" s="252" t="s">
        <v>2263</v>
      </c>
      <c r="D931" s="253"/>
    </row>
    <row r="932" spans="1:4" x14ac:dyDescent="0.25">
      <c r="A932" s="252" t="s">
        <v>2264</v>
      </c>
      <c r="B932" s="252"/>
      <c r="C932" s="252" t="s">
        <v>2265</v>
      </c>
      <c r="D932" s="253"/>
    </row>
    <row r="933" spans="1:4" x14ac:dyDescent="0.25">
      <c r="A933" s="252" t="s">
        <v>2266</v>
      </c>
      <c r="B933" s="252"/>
      <c r="C933" s="252" t="s">
        <v>1881</v>
      </c>
      <c r="D933" s="253"/>
    </row>
    <row r="934" spans="1:4" x14ac:dyDescent="0.25">
      <c r="A934" s="252" t="s">
        <v>2267</v>
      </c>
      <c r="B934" s="252"/>
      <c r="C934" s="252" t="s">
        <v>2268</v>
      </c>
      <c r="D934" s="253"/>
    </row>
    <row r="935" spans="1:4" x14ac:dyDescent="0.25">
      <c r="A935" s="252" t="s">
        <v>2269</v>
      </c>
      <c r="B935" s="252"/>
      <c r="C935" s="252" t="s">
        <v>2270</v>
      </c>
      <c r="D935" s="253"/>
    </row>
    <row r="936" spans="1:4" x14ac:dyDescent="0.25">
      <c r="A936" s="252" t="s">
        <v>2271</v>
      </c>
      <c r="B936" s="252"/>
      <c r="C936" s="252" t="s">
        <v>673</v>
      </c>
      <c r="D936" s="253"/>
    </row>
    <row r="937" spans="1:4" ht="26.4" x14ac:dyDescent="0.25">
      <c r="A937" s="252" t="s">
        <v>2272</v>
      </c>
      <c r="B937" s="252"/>
      <c r="C937" s="252" t="s">
        <v>2273</v>
      </c>
      <c r="D937" s="253"/>
    </row>
    <row r="938" spans="1:4" x14ac:dyDescent="0.25">
      <c r="A938" s="252" t="s">
        <v>2274</v>
      </c>
      <c r="B938" s="252"/>
      <c r="C938" s="252" t="s">
        <v>2275</v>
      </c>
      <c r="D938" s="253"/>
    </row>
    <row r="939" spans="1:4" x14ac:dyDescent="0.25">
      <c r="A939" s="252" t="s">
        <v>2276</v>
      </c>
      <c r="B939" s="252"/>
      <c r="C939" s="252" t="s">
        <v>2277</v>
      </c>
      <c r="D939" s="253"/>
    </row>
    <row r="940" spans="1:4" x14ac:dyDescent="0.25">
      <c r="A940" s="252" t="s">
        <v>2278</v>
      </c>
      <c r="B940" s="252"/>
      <c r="C940" s="252" t="s">
        <v>2279</v>
      </c>
      <c r="D940" s="253"/>
    </row>
    <row r="941" spans="1:4" x14ac:dyDescent="0.25">
      <c r="A941" s="252" t="s">
        <v>2280</v>
      </c>
      <c r="B941" s="252"/>
      <c r="C941" s="252" t="s">
        <v>2281</v>
      </c>
      <c r="D941" s="253"/>
    </row>
    <row r="942" spans="1:4" x14ac:dyDescent="0.25">
      <c r="A942" s="252" t="s">
        <v>2282</v>
      </c>
      <c r="B942" s="252"/>
      <c r="C942" s="252" t="s">
        <v>2283</v>
      </c>
      <c r="D942" s="253" t="s">
        <v>891</v>
      </c>
    </row>
    <row r="943" spans="1:4" x14ac:dyDescent="0.25">
      <c r="A943" s="252" t="s">
        <v>2284</v>
      </c>
      <c r="B943" s="252"/>
      <c r="C943" s="252" t="s">
        <v>1337</v>
      </c>
      <c r="D943" s="253"/>
    </row>
    <row r="944" spans="1:4" x14ac:dyDescent="0.25">
      <c r="A944" s="252" t="s">
        <v>2285</v>
      </c>
      <c r="B944" s="252"/>
      <c r="C944" s="252" t="s">
        <v>2286</v>
      </c>
      <c r="D944" s="253"/>
    </row>
    <row r="945" spans="1:4" ht="26.4" x14ac:dyDescent="0.25">
      <c r="A945" s="252" t="s">
        <v>2287</v>
      </c>
      <c r="B945" s="252"/>
      <c r="C945" s="252" t="s">
        <v>2288</v>
      </c>
      <c r="D945" s="253"/>
    </row>
    <row r="946" spans="1:4" x14ac:dyDescent="0.25">
      <c r="A946" s="252" t="s">
        <v>2289</v>
      </c>
      <c r="B946" s="252"/>
      <c r="C946" s="252" t="s">
        <v>2290</v>
      </c>
      <c r="D946" s="253"/>
    </row>
    <row r="947" spans="1:4" x14ac:dyDescent="0.25">
      <c r="A947" s="252" t="s">
        <v>2291</v>
      </c>
      <c r="B947" s="252"/>
      <c r="C947" s="252" t="s">
        <v>2292</v>
      </c>
      <c r="D947" s="253"/>
    </row>
    <row r="948" spans="1:4" x14ac:dyDescent="0.25">
      <c r="A948" s="252" t="s">
        <v>2293</v>
      </c>
      <c r="B948" s="252"/>
      <c r="C948" s="252" t="s">
        <v>1230</v>
      </c>
      <c r="D948" s="253"/>
    </row>
    <row r="949" spans="1:4" x14ac:dyDescent="0.25">
      <c r="A949" s="252" t="s">
        <v>2294</v>
      </c>
      <c r="B949" s="252"/>
      <c r="C949" s="252" t="s">
        <v>2295</v>
      </c>
      <c r="D949" s="253"/>
    </row>
    <row r="950" spans="1:4" x14ac:dyDescent="0.25">
      <c r="A950" s="252" t="s">
        <v>2296</v>
      </c>
      <c r="B950" s="252"/>
      <c r="C950" s="252" t="s">
        <v>2297</v>
      </c>
      <c r="D950" s="253"/>
    </row>
    <row r="951" spans="1:4" x14ac:dyDescent="0.25">
      <c r="A951" s="252" t="s">
        <v>2298</v>
      </c>
      <c r="B951" s="252"/>
      <c r="C951" s="252" t="s">
        <v>2299</v>
      </c>
      <c r="D951" s="253"/>
    </row>
    <row r="952" spans="1:4" x14ac:dyDescent="0.25">
      <c r="A952" s="252" t="s">
        <v>2300</v>
      </c>
      <c r="B952" s="252"/>
      <c r="C952" s="252" t="s">
        <v>2301</v>
      </c>
      <c r="D952" s="253"/>
    </row>
    <row r="953" spans="1:4" x14ac:dyDescent="0.25">
      <c r="A953" s="252" t="s">
        <v>2302</v>
      </c>
      <c r="B953" s="252"/>
      <c r="C953" s="252" t="s">
        <v>2303</v>
      </c>
      <c r="D953" s="253"/>
    </row>
    <row r="954" spans="1:4" x14ac:dyDescent="0.25">
      <c r="A954" s="252" t="s">
        <v>2304</v>
      </c>
      <c r="B954" s="252"/>
      <c r="C954" s="252" t="s">
        <v>2301</v>
      </c>
      <c r="D954" s="253"/>
    </row>
    <row r="955" spans="1:4" x14ac:dyDescent="0.25">
      <c r="A955" s="252" t="s">
        <v>2305</v>
      </c>
      <c r="B955" s="252"/>
      <c r="C955" s="252" t="s">
        <v>2306</v>
      </c>
      <c r="D955" s="253"/>
    </row>
    <row r="956" spans="1:4" x14ac:dyDescent="0.25">
      <c r="A956" s="252" t="s">
        <v>2307</v>
      </c>
      <c r="B956" s="252"/>
      <c r="C956" s="252" t="s">
        <v>2308</v>
      </c>
      <c r="D956" s="253"/>
    </row>
    <row r="957" spans="1:4" x14ac:dyDescent="0.25">
      <c r="A957" s="252" t="s">
        <v>2309</v>
      </c>
      <c r="B957" s="252"/>
      <c r="C957" s="252" t="s">
        <v>2310</v>
      </c>
      <c r="D957" s="253"/>
    </row>
    <row r="958" spans="1:4" x14ac:dyDescent="0.25">
      <c r="A958" s="252" t="s">
        <v>2311</v>
      </c>
      <c r="B958" s="252"/>
      <c r="C958" s="252" t="s">
        <v>2312</v>
      </c>
      <c r="D958" s="253" t="s">
        <v>2313</v>
      </c>
    </row>
    <row r="959" spans="1:4" x14ac:dyDescent="0.25">
      <c r="A959" s="252" t="s">
        <v>2314</v>
      </c>
      <c r="B959" s="252"/>
      <c r="C959" s="252" t="s">
        <v>2315</v>
      </c>
      <c r="D959" s="253"/>
    </row>
    <row r="960" spans="1:4" x14ac:dyDescent="0.25">
      <c r="A960" s="252" t="s">
        <v>2316</v>
      </c>
      <c r="B960" s="252"/>
      <c r="C960" s="252" t="s">
        <v>2317</v>
      </c>
      <c r="D960" s="253"/>
    </row>
    <row r="961" spans="1:4" x14ac:dyDescent="0.25">
      <c r="A961" s="252" t="s">
        <v>2318</v>
      </c>
      <c r="B961" s="252"/>
      <c r="C961" s="252" t="s">
        <v>2319</v>
      </c>
      <c r="D961" s="253"/>
    </row>
    <row r="962" spans="1:4" x14ac:dyDescent="0.25">
      <c r="A962" s="252" t="s">
        <v>2320</v>
      </c>
      <c r="B962" s="252"/>
      <c r="C962" s="252" t="s">
        <v>2321</v>
      </c>
      <c r="D962" s="253"/>
    </row>
    <row r="963" spans="1:4" x14ac:dyDescent="0.25">
      <c r="A963" s="255" t="s">
        <v>2322</v>
      </c>
      <c r="B963" s="254"/>
      <c r="C963" s="255" t="s">
        <v>2323</v>
      </c>
      <c r="D963" s="253"/>
    </row>
    <row r="964" spans="1:4" x14ac:dyDescent="0.25">
      <c r="A964" s="252" t="s">
        <v>2324</v>
      </c>
      <c r="B964" s="252"/>
      <c r="C964" s="252" t="s">
        <v>2325</v>
      </c>
      <c r="D964" s="253"/>
    </row>
    <row r="965" spans="1:4" x14ac:dyDescent="0.25">
      <c r="A965" s="252" t="s">
        <v>2326</v>
      </c>
      <c r="B965" s="252"/>
      <c r="C965" s="252" t="s">
        <v>2327</v>
      </c>
      <c r="D965" s="253"/>
    </row>
    <row r="966" spans="1:4" x14ac:dyDescent="0.25">
      <c r="A966" s="252" t="s">
        <v>2328</v>
      </c>
      <c r="B966" s="252"/>
      <c r="C966" s="252" t="s">
        <v>2329</v>
      </c>
      <c r="D966" s="253"/>
    </row>
    <row r="967" spans="1:4" x14ac:dyDescent="0.25">
      <c r="A967" s="252" t="s">
        <v>2330</v>
      </c>
      <c r="B967" s="252"/>
      <c r="C967" s="252" t="s">
        <v>2331</v>
      </c>
      <c r="D967" s="253"/>
    </row>
    <row r="968" spans="1:4" x14ac:dyDescent="0.25">
      <c r="A968" s="252" t="s">
        <v>2332</v>
      </c>
      <c r="B968" s="252"/>
      <c r="C968" s="252" t="s">
        <v>1045</v>
      </c>
      <c r="D968" s="253"/>
    </row>
    <row r="969" spans="1:4" x14ac:dyDescent="0.25">
      <c r="A969" s="252" t="s">
        <v>2333</v>
      </c>
      <c r="B969" s="252"/>
      <c r="C969" s="252" t="s">
        <v>1395</v>
      </c>
      <c r="D969" s="253"/>
    </row>
    <row r="970" spans="1:4" x14ac:dyDescent="0.25">
      <c r="A970" s="252" t="s">
        <v>2334</v>
      </c>
      <c r="B970" s="252"/>
      <c r="C970" s="252" t="s">
        <v>2335</v>
      </c>
      <c r="D970" s="253"/>
    </row>
    <row r="971" spans="1:4" x14ac:dyDescent="0.25">
      <c r="A971" s="252" t="s">
        <v>2336</v>
      </c>
      <c r="B971" s="252"/>
      <c r="C971" s="252" t="s">
        <v>2337</v>
      </c>
      <c r="D971" s="253"/>
    </row>
    <row r="972" spans="1:4" x14ac:dyDescent="0.25">
      <c r="A972" s="252" t="s">
        <v>2338</v>
      </c>
      <c r="B972" s="252"/>
      <c r="C972" s="252" t="s">
        <v>2339</v>
      </c>
      <c r="D972" s="253"/>
    </row>
    <row r="973" spans="1:4" x14ac:dyDescent="0.25">
      <c r="A973" s="252" t="s">
        <v>2340</v>
      </c>
      <c r="B973" s="252"/>
      <c r="C973" s="252" t="s">
        <v>1879</v>
      </c>
      <c r="D973" s="253" t="s">
        <v>1089</v>
      </c>
    </row>
    <row r="974" spans="1:4" x14ac:dyDescent="0.25">
      <c r="A974" s="252" t="s">
        <v>2341</v>
      </c>
      <c r="B974" s="252"/>
      <c r="C974" s="252" t="s">
        <v>1881</v>
      </c>
      <c r="D974" s="253" t="s">
        <v>947</v>
      </c>
    </row>
    <row r="975" spans="1:4" x14ac:dyDescent="0.25">
      <c r="A975" s="252" t="s">
        <v>2342</v>
      </c>
      <c r="B975" s="252"/>
      <c r="C975" s="252" t="s">
        <v>2343</v>
      </c>
      <c r="D975" s="253"/>
    </row>
    <row r="976" spans="1:4" x14ac:dyDescent="0.25">
      <c r="A976" s="252" t="s">
        <v>2344</v>
      </c>
      <c r="B976" s="252"/>
      <c r="C976" s="252" t="s">
        <v>2345</v>
      </c>
      <c r="D976" s="253"/>
    </row>
    <row r="977" spans="1:4" x14ac:dyDescent="0.25">
      <c r="A977" s="252" t="s">
        <v>2346</v>
      </c>
      <c r="B977" s="252"/>
      <c r="C977" s="252" t="s">
        <v>919</v>
      </c>
      <c r="D977" s="253"/>
    </row>
    <row r="978" spans="1:4" x14ac:dyDescent="0.25">
      <c r="A978" s="256" t="s">
        <v>2347</v>
      </c>
      <c r="B978" s="256"/>
      <c r="C978" s="256" t="s">
        <v>2348</v>
      </c>
      <c r="D978" s="253"/>
    </row>
    <row r="979" spans="1:4" x14ac:dyDescent="0.25">
      <c r="A979" s="252" t="s">
        <v>2349</v>
      </c>
      <c r="B979" s="252"/>
      <c r="C979" s="252" t="s">
        <v>2350</v>
      </c>
      <c r="D979" s="253"/>
    </row>
    <row r="980" spans="1:4" x14ac:dyDescent="0.25">
      <c r="A980" s="252" t="s">
        <v>2351</v>
      </c>
      <c r="B980" s="252"/>
      <c r="C980" s="252" t="s">
        <v>1267</v>
      </c>
      <c r="D980" s="253"/>
    </row>
    <row r="981" spans="1:4" x14ac:dyDescent="0.25">
      <c r="A981" s="252" t="s">
        <v>2352</v>
      </c>
      <c r="B981" s="252"/>
      <c r="C981" s="252" t="s">
        <v>2353</v>
      </c>
      <c r="D981" s="265" t="s">
        <v>2354</v>
      </c>
    </row>
    <row r="982" spans="1:4" x14ac:dyDescent="0.25">
      <c r="A982" s="252" t="s">
        <v>2355</v>
      </c>
      <c r="B982" s="252"/>
      <c r="C982" s="252" t="s">
        <v>2356</v>
      </c>
      <c r="D982" s="253"/>
    </row>
    <row r="983" spans="1:4" x14ac:dyDescent="0.25">
      <c r="A983" s="252" t="s">
        <v>2357</v>
      </c>
      <c r="B983" s="252"/>
      <c r="C983" s="252" t="s">
        <v>2358</v>
      </c>
      <c r="D983" s="253"/>
    </row>
    <row r="984" spans="1:4" x14ac:dyDescent="0.25">
      <c r="A984" s="252" t="s">
        <v>2359</v>
      </c>
      <c r="B984" s="252"/>
      <c r="C984" s="252" t="s">
        <v>2360</v>
      </c>
      <c r="D984" s="253" t="s">
        <v>2361</v>
      </c>
    </row>
    <row r="985" spans="1:4" x14ac:dyDescent="0.25">
      <c r="A985" s="252" t="s">
        <v>2362</v>
      </c>
      <c r="B985" s="252"/>
      <c r="C985" s="252" t="s">
        <v>2363</v>
      </c>
      <c r="D985" s="253" t="s">
        <v>2361</v>
      </c>
    </row>
    <row r="986" spans="1:4" x14ac:dyDescent="0.25">
      <c r="A986" s="252" t="s">
        <v>2364</v>
      </c>
      <c r="B986" s="252"/>
      <c r="C986" s="252" t="s">
        <v>2365</v>
      </c>
      <c r="D986" s="253"/>
    </row>
    <row r="987" spans="1:4" x14ac:dyDescent="0.25">
      <c r="A987" s="252" t="s">
        <v>2366</v>
      </c>
      <c r="B987" s="252"/>
      <c r="C987" s="252" t="s">
        <v>2367</v>
      </c>
      <c r="D987" s="253"/>
    </row>
    <row r="988" spans="1:4" x14ac:dyDescent="0.25">
      <c r="A988" s="252" t="s">
        <v>2368</v>
      </c>
      <c r="B988" s="252"/>
      <c r="C988" s="252" t="s">
        <v>2369</v>
      </c>
      <c r="D988" s="253"/>
    </row>
    <row r="989" spans="1:4" ht="26.4" x14ac:dyDescent="0.25">
      <c r="A989" s="252" t="s">
        <v>2370</v>
      </c>
      <c r="B989" s="252"/>
      <c r="C989" s="252" t="s">
        <v>2371</v>
      </c>
      <c r="D989" s="253"/>
    </row>
    <row r="990" spans="1:4" x14ac:dyDescent="0.25">
      <c r="A990" s="252" t="s">
        <v>2372</v>
      </c>
      <c r="B990" s="252"/>
      <c r="C990" s="252" t="s">
        <v>2373</v>
      </c>
      <c r="D990" s="253"/>
    </row>
    <row r="991" spans="1:4" x14ac:dyDescent="0.25">
      <c r="A991" s="252" t="s">
        <v>2374</v>
      </c>
      <c r="B991" s="252"/>
      <c r="C991" s="252" t="s">
        <v>2375</v>
      </c>
      <c r="D991" s="253"/>
    </row>
    <row r="992" spans="1:4" x14ac:dyDescent="0.25">
      <c r="A992" s="252" t="s">
        <v>2376</v>
      </c>
      <c r="B992" s="252"/>
      <c r="C992" s="252" t="s">
        <v>2377</v>
      </c>
      <c r="D992" s="253"/>
    </row>
    <row r="993" spans="1:4" x14ac:dyDescent="0.25">
      <c r="A993" s="252" t="s">
        <v>2378</v>
      </c>
      <c r="B993" s="252"/>
      <c r="C993" s="252" t="s">
        <v>2283</v>
      </c>
      <c r="D993" s="253" t="s">
        <v>891</v>
      </c>
    </row>
    <row r="994" spans="1:4" x14ac:dyDescent="0.25">
      <c r="A994" s="252" t="s">
        <v>2379</v>
      </c>
      <c r="B994" s="252"/>
      <c r="C994" s="252" t="s">
        <v>2380</v>
      </c>
      <c r="D994" s="253"/>
    </row>
    <row r="995" spans="1:4" ht="26.4" x14ac:dyDescent="0.25">
      <c r="A995" s="252" t="s">
        <v>2381</v>
      </c>
      <c r="B995" s="252"/>
      <c r="C995" s="252" t="s">
        <v>2382</v>
      </c>
      <c r="D995" s="253" t="s">
        <v>891</v>
      </c>
    </row>
    <row r="996" spans="1:4" x14ac:dyDescent="0.25">
      <c r="A996" s="252" t="s">
        <v>2383</v>
      </c>
      <c r="B996" s="252"/>
      <c r="C996" s="252" t="s">
        <v>1858</v>
      </c>
      <c r="D996" s="253"/>
    </row>
    <row r="997" spans="1:4" x14ac:dyDescent="0.25">
      <c r="A997" s="252" t="s">
        <v>2384</v>
      </c>
      <c r="B997" s="252"/>
      <c r="C997" s="252" t="s">
        <v>1858</v>
      </c>
      <c r="D997" s="253"/>
    </row>
    <row r="998" spans="1:4" x14ac:dyDescent="0.25">
      <c r="A998" s="252" t="s">
        <v>2385</v>
      </c>
      <c r="B998" s="252"/>
      <c r="C998" s="252" t="s">
        <v>2386</v>
      </c>
      <c r="D998" s="253"/>
    </row>
    <row r="999" spans="1:4" x14ac:dyDescent="0.25">
      <c r="A999" s="252" t="s">
        <v>2387</v>
      </c>
      <c r="B999" s="252"/>
      <c r="C999" s="252" t="s">
        <v>2388</v>
      </c>
      <c r="D999" s="253"/>
    </row>
    <row r="1000" spans="1:4" x14ac:dyDescent="0.25">
      <c r="A1000" s="252" t="s">
        <v>2389</v>
      </c>
      <c r="B1000" s="252"/>
      <c r="C1000" s="252" t="s">
        <v>1477</v>
      </c>
      <c r="D1000" s="253"/>
    </row>
    <row r="1001" spans="1:4" x14ac:dyDescent="0.25">
      <c r="A1001" s="252" t="s">
        <v>2390</v>
      </c>
      <c r="B1001" s="252"/>
      <c r="C1001" s="252" t="s">
        <v>1080</v>
      </c>
      <c r="D1001" s="253"/>
    </row>
    <row r="1002" spans="1:4" x14ac:dyDescent="0.25">
      <c r="A1002" s="252" t="s">
        <v>2391</v>
      </c>
      <c r="B1002" s="252"/>
      <c r="C1002" s="252" t="s">
        <v>2392</v>
      </c>
      <c r="D1002" s="253"/>
    </row>
    <row r="1003" spans="1:4" x14ac:dyDescent="0.25">
      <c r="A1003" s="255" t="s">
        <v>329</v>
      </c>
      <c r="B1003" s="254"/>
      <c r="C1003" s="255" t="s">
        <v>2393</v>
      </c>
      <c r="D1003" s="253"/>
    </row>
    <row r="1004" spans="1:4" x14ac:dyDescent="0.25">
      <c r="A1004" s="252" t="s">
        <v>2394</v>
      </c>
      <c r="B1004" s="252"/>
      <c r="C1004" s="252" t="s">
        <v>2395</v>
      </c>
      <c r="D1004" s="253"/>
    </row>
    <row r="1005" spans="1:4" ht="26.4" x14ac:dyDescent="0.25">
      <c r="A1005" s="252" t="s">
        <v>2396</v>
      </c>
      <c r="B1005" s="252"/>
      <c r="C1005" s="252" t="s">
        <v>843</v>
      </c>
      <c r="D1005" s="253"/>
    </row>
    <row r="1006" spans="1:4" x14ac:dyDescent="0.25">
      <c r="A1006" s="252" t="s">
        <v>2397</v>
      </c>
      <c r="B1006" s="252"/>
      <c r="C1006" s="252" t="s">
        <v>742</v>
      </c>
      <c r="D1006" s="253" t="s">
        <v>2398</v>
      </c>
    </row>
    <row r="1007" spans="1:4" x14ac:dyDescent="0.25">
      <c r="A1007" s="252" t="s">
        <v>2399</v>
      </c>
      <c r="B1007" s="252"/>
      <c r="C1007" s="252" t="s">
        <v>2400</v>
      </c>
      <c r="D1007" s="253"/>
    </row>
    <row r="1008" spans="1:4" x14ac:dyDescent="0.25">
      <c r="A1008" s="252" t="s">
        <v>2401</v>
      </c>
      <c r="B1008" s="252"/>
      <c r="C1008" s="252" t="s">
        <v>2402</v>
      </c>
      <c r="D1008" s="253"/>
    </row>
    <row r="1009" spans="1:4" x14ac:dyDescent="0.25">
      <c r="A1009" s="252" t="s">
        <v>2403</v>
      </c>
      <c r="B1009" s="252"/>
      <c r="C1009" s="252" t="s">
        <v>2404</v>
      </c>
      <c r="D1009" s="253"/>
    </row>
    <row r="1010" spans="1:4" x14ac:dyDescent="0.25">
      <c r="A1010" s="252" t="s">
        <v>2405</v>
      </c>
      <c r="B1010" s="252"/>
      <c r="C1010" s="252" t="s">
        <v>1862</v>
      </c>
      <c r="D1010" s="253" t="s">
        <v>891</v>
      </c>
    </row>
    <row r="1011" spans="1:4" x14ac:dyDescent="0.25">
      <c r="A1011" s="252" t="s">
        <v>2406</v>
      </c>
      <c r="B1011" s="252"/>
      <c r="C1011" s="252" t="s">
        <v>2407</v>
      </c>
      <c r="D1011" s="253"/>
    </row>
    <row r="1012" spans="1:4" x14ac:dyDescent="0.25">
      <c r="A1012" s="252" t="s">
        <v>2408</v>
      </c>
      <c r="B1012" s="252"/>
      <c r="C1012" s="252" t="s">
        <v>2409</v>
      </c>
      <c r="D1012" s="253"/>
    </row>
    <row r="1013" spans="1:4" x14ac:dyDescent="0.25">
      <c r="A1013" s="252" t="s">
        <v>2410</v>
      </c>
      <c r="B1013" s="252"/>
      <c r="C1013" s="252" t="s">
        <v>2409</v>
      </c>
      <c r="D1013" s="253"/>
    </row>
    <row r="1014" spans="1:4" x14ac:dyDescent="0.25">
      <c r="A1014" s="252" t="s">
        <v>2411</v>
      </c>
      <c r="B1014" s="252"/>
      <c r="C1014" s="252" t="s">
        <v>2409</v>
      </c>
      <c r="D1014" s="253"/>
    </row>
    <row r="1015" spans="1:4" x14ac:dyDescent="0.25">
      <c r="A1015" s="252" t="s">
        <v>2412</v>
      </c>
      <c r="B1015" s="252"/>
      <c r="C1015" s="252" t="s">
        <v>2409</v>
      </c>
      <c r="D1015" s="253"/>
    </row>
    <row r="1016" spans="1:4" x14ac:dyDescent="0.25">
      <c r="A1016" s="252" t="s">
        <v>2413</v>
      </c>
      <c r="B1016" s="252"/>
      <c r="C1016" s="252" t="s">
        <v>2414</v>
      </c>
      <c r="D1016" s="253"/>
    </row>
    <row r="1017" spans="1:4" x14ac:dyDescent="0.25">
      <c r="A1017" s="252" t="s">
        <v>2415</v>
      </c>
      <c r="B1017" s="252"/>
      <c r="C1017" s="252" t="s">
        <v>2416</v>
      </c>
      <c r="D1017" s="253"/>
    </row>
    <row r="1018" spans="1:4" x14ac:dyDescent="0.25">
      <c r="A1018" s="252" t="s">
        <v>2417</v>
      </c>
      <c r="B1018" s="252"/>
      <c r="C1018" s="252" t="s">
        <v>2418</v>
      </c>
      <c r="D1018" s="253"/>
    </row>
    <row r="1019" spans="1:4" x14ac:dyDescent="0.25">
      <c r="A1019" s="252" t="s">
        <v>2419</v>
      </c>
      <c r="B1019" s="252"/>
      <c r="C1019" s="252" t="s">
        <v>2420</v>
      </c>
      <c r="D1019" s="253"/>
    </row>
    <row r="1020" spans="1:4" x14ac:dyDescent="0.25">
      <c r="A1020" s="252" t="s">
        <v>2421</v>
      </c>
      <c r="B1020" s="252"/>
      <c r="C1020" s="252" t="s">
        <v>2422</v>
      </c>
      <c r="D1020" s="253"/>
    </row>
    <row r="1021" spans="1:4" x14ac:dyDescent="0.25">
      <c r="A1021" s="252" t="s">
        <v>2423</v>
      </c>
      <c r="B1021" s="252"/>
      <c r="C1021" s="252" t="s">
        <v>2424</v>
      </c>
      <c r="D1021" s="253"/>
    </row>
    <row r="1022" spans="1:4" x14ac:dyDescent="0.25">
      <c r="A1022" s="252" t="s">
        <v>2425</v>
      </c>
      <c r="B1022" s="252"/>
      <c r="C1022" s="252" t="s">
        <v>2426</v>
      </c>
      <c r="D1022" s="253"/>
    </row>
    <row r="1023" spans="1:4" x14ac:dyDescent="0.25">
      <c r="A1023" s="252" t="s">
        <v>2427</v>
      </c>
      <c r="B1023" s="252"/>
      <c r="C1023" s="252" t="s">
        <v>2428</v>
      </c>
      <c r="D1023" s="253"/>
    </row>
    <row r="1024" spans="1:4" x14ac:dyDescent="0.25">
      <c r="A1024" s="252" t="s">
        <v>2429</v>
      </c>
      <c r="B1024" s="252"/>
      <c r="C1024" s="252" t="s">
        <v>2430</v>
      </c>
      <c r="D1024" s="253"/>
    </row>
    <row r="1025" spans="1:4" ht="26.4" x14ac:dyDescent="0.25">
      <c r="A1025" s="252" t="s">
        <v>2431</v>
      </c>
      <c r="B1025" s="252"/>
      <c r="C1025" s="252" t="s">
        <v>2432</v>
      </c>
      <c r="D1025" s="253"/>
    </row>
    <row r="1026" spans="1:4" x14ac:dyDescent="0.25">
      <c r="A1026" s="252" t="s">
        <v>2433</v>
      </c>
      <c r="B1026" s="252"/>
      <c r="C1026" s="252" t="s">
        <v>2434</v>
      </c>
      <c r="D1026" s="253"/>
    </row>
    <row r="1027" spans="1:4" x14ac:dyDescent="0.25">
      <c r="A1027" s="252" t="s">
        <v>2435</v>
      </c>
      <c r="B1027" s="252"/>
      <c r="C1027" s="252" t="s">
        <v>1264</v>
      </c>
      <c r="D1027" s="253"/>
    </row>
    <row r="1028" spans="1:4" x14ac:dyDescent="0.25">
      <c r="A1028" s="252" t="s">
        <v>2436</v>
      </c>
      <c r="B1028" s="252"/>
      <c r="C1028" s="252" t="s">
        <v>2437</v>
      </c>
      <c r="D1028" s="253"/>
    </row>
    <row r="1029" spans="1:4" x14ac:dyDescent="0.25">
      <c r="A1029" s="252" t="s">
        <v>2438</v>
      </c>
      <c r="B1029" s="252"/>
      <c r="C1029" s="252" t="s">
        <v>2439</v>
      </c>
      <c r="D1029" s="253"/>
    </row>
    <row r="1030" spans="1:4" x14ac:dyDescent="0.25">
      <c r="A1030" s="255" t="s">
        <v>2440</v>
      </c>
      <c r="B1030" s="254"/>
      <c r="C1030" s="255" t="s">
        <v>2441</v>
      </c>
      <c r="D1030" s="253"/>
    </row>
    <row r="1031" spans="1:4" x14ac:dyDescent="0.25">
      <c r="A1031" s="252" t="s">
        <v>2442</v>
      </c>
      <c r="B1031" s="252"/>
      <c r="C1031" s="252" t="s">
        <v>2443</v>
      </c>
      <c r="D1031" s="253"/>
    </row>
    <row r="1032" spans="1:4" x14ac:dyDescent="0.25">
      <c r="A1032" s="252" t="s">
        <v>2444</v>
      </c>
      <c r="B1032" s="252"/>
      <c r="C1032" s="252" t="s">
        <v>1586</v>
      </c>
      <c r="D1032" s="253"/>
    </row>
    <row r="1033" spans="1:4" x14ac:dyDescent="0.25">
      <c r="A1033" s="252" t="s">
        <v>2445</v>
      </c>
      <c r="B1033" s="252"/>
      <c r="C1033" s="252" t="s">
        <v>1001</v>
      </c>
      <c r="D1033" s="253"/>
    </row>
    <row r="1034" spans="1:4" x14ac:dyDescent="0.25">
      <c r="A1034" s="252" t="s">
        <v>2446</v>
      </c>
      <c r="B1034" s="252"/>
      <c r="C1034" s="252" t="s">
        <v>2447</v>
      </c>
      <c r="D1034" s="253"/>
    </row>
    <row r="1035" spans="1:4" x14ac:dyDescent="0.25">
      <c r="A1035" s="255" t="s">
        <v>2448</v>
      </c>
      <c r="B1035" s="254"/>
      <c r="C1035" s="255" t="s">
        <v>2449</v>
      </c>
      <c r="D1035" s="253"/>
    </row>
    <row r="1036" spans="1:4" x14ac:dyDescent="0.25">
      <c r="A1036" s="252" t="s">
        <v>2450</v>
      </c>
      <c r="B1036" s="252"/>
      <c r="C1036" s="252" t="s">
        <v>2451</v>
      </c>
      <c r="D1036" s="253"/>
    </row>
    <row r="1037" spans="1:4" x14ac:dyDescent="0.25">
      <c r="A1037" s="252" t="s">
        <v>2452</v>
      </c>
      <c r="B1037" s="252"/>
      <c r="C1037" s="252" t="s">
        <v>2453</v>
      </c>
      <c r="D1037" s="253"/>
    </row>
    <row r="1038" spans="1:4" x14ac:dyDescent="0.25">
      <c r="A1038" s="252" t="s">
        <v>2454</v>
      </c>
      <c r="B1038" s="252"/>
      <c r="C1038" s="252" t="s">
        <v>2455</v>
      </c>
      <c r="D1038" s="253"/>
    </row>
    <row r="1039" spans="1:4" ht="26.4" x14ac:dyDescent="0.25">
      <c r="A1039" s="252" t="s">
        <v>2456</v>
      </c>
      <c r="B1039" s="252"/>
      <c r="C1039" s="252" t="s">
        <v>2457</v>
      </c>
      <c r="D1039" s="253"/>
    </row>
    <row r="1040" spans="1:4" x14ac:dyDescent="0.25">
      <c r="A1040" s="252" t="s">
        <v>2458</v>
      </c>
      <c r="B1040" s="252"/>
      <c r="C1040" s="252" t="s">
        <v>1626</v>
      </c>
      <c r="D1040" s="253"/>
    </row>
    <row r="1041" spans="1:4" x14ac:dyDescent="0.25">
      <c r="A1041" s="252" t="s">
        <v>2459</v>
      </c>
      <c r="B1041" s="252"/>
      <c r="C1041" s="252" t="s">
        <v>2460</v>
      </c>
      <c r="D1041" s="253"/>
    </row>
    <row r="1042" spans="1:4" ht="26.4" x14ac:dyDescent="0.25">
      <c r="A1042" s="252" t="s">
        <v>2461</v>
      </c>
      <c r="B1042" s="252"/>
      <c r="C1042" s="252" t="s">
        <v>2132</v>
      </c>
      <c r="D1042" s="253"/>
    </row>
    <row r="1043" spans="1:4" x14ac:dyDescent="0.25">
      <c r="A1043" s="252" t="s">
        <v>2462</v>
      </c>
      <c r="B1043" s="252"/>
      <c r="C1043" s="252" t="s">
        <v>872</v>
      </c>
      <c r="D1043" s="253"/>
    </row>
    <row r="1044" spans="1:4" x14ac:dyDescent="0.25">
      <c r="A1044" s="252" t="s">
        <v>2463</v>
      </c>
      <c r="B1044" s="252"/>
      <c r="C1044" s="252" t="s">
        <v>2464</v>
      </c>
      <c r="D1044" s="253"/>
    </row>
    <row r="1045" spans="1:4" x14ac:dyDescent="0.25">
      <c r="A1045" s="255" t="s">
        <v>2465</v>
      </c>
      <c r="B1045" s="254"/>
      <c r="C1045" s="255" t="s">
        <v>2466</v>
      </c>
      <c r="D1045" s="253"/>
    </row>
    <row r="1046" spans="1:4" x14ac:dyDescent="0.25">
      <c r="A1046" s="252" t="s">
        <v>2467</v>
      </c>
      <c r="B1046" s="252"/>
      <c r="C1046" s="252" t="s">
        <v>2468</v>
      </c>
      <c r="D1046" s="253"/>
    </row>
    <row r="1047" spans="1:4" x14ac:dyDescent="0.25">
      <c r="A1047" s="252" t="s">
        <v>2469</v>
      </c>
      <c r="B1047" s="252"/>
      <c r="C1047" s="252" t="s">
        <v>2470</v>
      </c>
      <c r="D1047" s="253"/>
    </row>
    <row r="1048" spans="1:4" x14ac:dyDescent="0.25">
      <c r="A1048" s="252" t="s">
        <v>2471</v>
      </c>
      <c r="B1048" s="252"/>
      <c r="C1048" s="252" t="s">
        <v>2472</v>
      </c>
      <c r="D1048" s="253"/>
    </row>
    <row r="1049" spans="1:4" ht="26.4" x14ac:dyDescent="0.25">
      <c r="A1049" s="252" t="s">
        <v>2473</v>
      </c>
      <c r="B1049" s="252"/>
      <c r="C1049" s="252" t="s">
        <v>2474</v>
      </c>
      <c r="D1049" s="253"/>
    </row>
    <row r="1050" spans="1:4" ht="26.4" x14ac:dyDescent="0.25">
      <c r="A1050" s="252" t="s">
        <v>2475</v>
      </c>
      <c r="B1050" s="252"/>
      <c r="C1050" s="252" t="s">
        <v>2476</v>
      </c>
      <c r="D1050" s="253"/>
    </row>
    <row r="1051" spans="1:4" x14ac:dyDescent="0.25">
      <c r="A1051" s="252" t="s">
        <v>2477</v>
      </c>
      <c r="B1051" s="252"/>
      <c r="C1051" s="252" t="s">
        <v>2478</v>
      </c>
      <c r="D1051" s="253" t="s">
        <v>837</v>
      </c>
    </row>
  </sheetData>
  <mergeCells count="1">
    <mergeCell ref="F1:I3"/>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E421B-32D8-40F9-BB28-511DFBAE3512}">
  <sheetPr>
    <tabColor theme="7" tint="0.39997558519241921"/>
  </sheetPr>
  <dimension ref="B2:N97"/>
  <sheetViews>
    <sheetView tabSelected="1" zoomScaleNormal="100" zoomScaleSheetLayoutView="90" workbookViewId="0">
      <selection activeCell="M58" sqref="M58"/>
    </sheetView>
  </sheetViews>
  <sheetFormatPr defaultColWidth="9.109375" defaultRowHeight="13.2" x14ac:dyDescent="0.25"/>
  <cols>
    <col min="1" max="1" width="1.6640625" style="266" customWidth="1"/>
    <col min="2" max="2" width="9.44140625" style="266" customWidth="1"/>
    <col min="3" max="3" width="9.109375" style="266"/>
    <col min="4" max="4" width="3.44140625" style="266" customWidth="1"/>
    <col min="5" max="5" width="12.6640625" style="266" customWidth="1"/>
    <col min="6" max="6" width="3.44140625" style="266" customWidth="1"/>
    <col min="7" max="7" width="9.88671875" style="266" bestFit="1" customWidth="1"/>
    <col min="8" max="8" width="3" style="266" customWidth="1"/>
    <col min="9" max="9" width="9.33203125" style="266" bestFit="1" customWidth="1"/>
    <col min="10" max="10" width="3.44140625" style="266" customWidth="1"/>
    <col min="11" max="11" width="5.109375" style="266" customWidth="1"/>
    <col min="12" max="12" width="3.5546875" style="266" customWidth="1"/>
    <col min="13" max="13" width="20.5546875" style="266" customWidth="1"/>
    <col min="14" max="14" width="1.88671875" style="266" customWidth="1"/>
    <col min="15" max="16384" width="9.109375" style="266"/>
  </cols>
  <sheetData>
    <row r="2" spans="2:14" x14ac:dyDescent="0.25">
      <c r="M2" s="398" t="s">
        <v>2479</v>
      </c>
      <c r="N2" s="399"/>
    </row>
    <row r="4" spans="2:14" x14ac:dyDescent="0.25">
      <c r="G4" s="397" t="s">
        <v>2480</v>
      </c>
      <c r="H4" s="400"/>
      <c r="I4" s="400"/>
      <c r="J4" s="400"/>
      <c r="K4" s="400"/>
      <c r="L4" s="400"/>
      <c r="M4" s="400"/>
      <c r="N4" s="400"/>
    </row>
    <row r="5" spans="2:14" ht="3.75" customHeight="1" x14ac:dyDescent="0.25">
      <c r="B5" s="269"/>
      <c r="C5" s="269"/>
      <c r="D5" s="269"/>
      <c r="E5" s="269"/>
      <c r="F5" s="269"/>
      <c r="G5" s="269"/>
      <c r="H5" s="269"/>
      <c r="I5" s="269"/>
      <c r="J5" s="269"/>
      <c r="K5" s="269"/>
      <c r="L5" s="269"/>
      <c r="M5" s="269"/>
      <c r="N5" s="269"/>
    </row>
    <row r="6" spans="2:14" ht="8.25" customHeight="1" x14ac:dyDescent="0.25"/>
    <row r="7" spans="2:14" x14ac:dyDescent="0.25">
      <c r="B7" s="270" t="s">
        <v>2481</v>
      </c>
      <c r="C7" s="271"/>
      <c r="D7" s="271"/>
      <c r="E7" s="271"/>
      <c r="F7" s="271"/>
      <c r="G7" s="271"/>
      <c r="H7" s="271"/>
      <c r="I7" s="271"/>
      <c r="J7" s="271"/>
      <c r="K7" s="271"/>
      <c r="L7" s="271"/>
      <c r="M7" s="271"/>
      <c r="N7" s="271"/>
    </row>
    <row r="8" spans="2:14" ht="6.75" customHeight="1" x14ac:dyDescent="0.25">
      <c r="B8" s="270"/>
      <c r="C8" s="271"/>
      <c r="D8" s="271"/>
      <c r="E8" s="271"/>
      <c r="F8" s="271"/>
      <c r="G8" s="271"/>
      <c r="H8" s="271"/>
      <c r="I8" s="271"/>
      <c r="J8" s="271"/>
      <c r="K8" s="271"/>
      <c r="L8" s="271"/>
      <c r="M8" s="271"/>
      <c r="N8" s="271"/>
    </row>
    <row r="9" spans="2:14" x14ac:dyDescent="0.25">
      <c r="B9" s="271" t="s">
        <v>2482</v>
      </c>
      <c r="C9" s="271" t="s">
        <v>2483</v>
      </c>
      <c r="D9" s="271"/>
      <c r="E9" s="271"/>
      <c r="F9" s="271"/>
      <c r="G9" s="271"/>
      <c r="H9" s="271"/>
      <c r="I9" s="271"/>
      <c r="J9" s="271"/>
      <c r="K9" s="271"/>
      <c r="L9" s="271"/>
      <c r="M9" s="271"/>
      <c r="N9" s="271"/>
    </row>
    <row r="10" spans="2:14" x14ac:dyDescent="0.25">
      <c r="B10" s="271"/>
      <c r="C10" s="271" t="s">
        <v>2484</v>
      </c>
      <c r="D10" s="271"/>
      <c r="E10" s="271"/>
      <c r="F10" s="271"/>
      <c r="G10" s="271"/>
      <c r="H10" s="271"/>
      <c r="I10" s="271"/>
      <c r="J10" s="271"/>
      <c r="K10" s="271"/>
      <c r="L10" s="271"/>
      <c r="M10" s="271"/>
      <c r="N10" s="271"/>
    </row>
    <row r="11" spans="2:14" x14ac:dyDescent="0.25">
      <c r="B11" s="271"/>
      <c r="C11" s="271" t="s">
        <v>2485</v>
      </c>
      <c r="D11" s="271"/>
      <c r="E11" s="271"/>
      <c r="F11" s="271"/>
      <c r="G11" s="271"/>
      <c r="H11" s="271"/>
      <c r="I11" s="271"/>
      <c r="J11" s="271"/>
      <c r="K11" s="271"/>
      <c r="L11" s="271"/>
      <c r="M11" s="271"/>
      <c r="N11" s="271"/>
    </row>
    <row r="12" spans="2:14" x14ac:dyDescent="0.25">
      <c r="B12" s="271"/>
      <c r="C12" s="271" t="s">
        <v>2486</v>
      </c>
      <c r="D12" s="271"/>
      <c r="E12" s="271"/>
      <c r="F12" s="271"/>
      <c r="G12" s="271"/>
      <c r="H12" s="271"/>
      <c r="I12" s="271"/>
      <c r="J12" s="271"/>
      <c r="K12" s="271"/>
      <c r="L12" s="271"/>
      <c r="M12" s="271"/>
      <c r="N12" s="271"/>
    </row>
    <row r="13" spans="2:14" ht="7.5" customHeight="1" x14ac:dyDescent="0.25">
      <c r="B13" s="271"/>
      <c r="C13" s="271"/>
      <c r="D13" s="271"/>
      <c r="E13" s="271"/>
      <c r="F13" s="271"/>
      <c r="G13" s="271"/>
      <c r="H13" s="271"/>
      <c r="I13" s="271"/>
      <c r="J13" s="271"/>
      <c r="K13" s="271"/>
      <c r="L13" s="271"/>
      <c r="M13" s="271"/>
      <c r="N13" s="271"/>
    </row>
    <row r="14" spans="2:14" x14ac:dyDescent="0.25">
      <c r="B14" s="272" t="s">
        <v>2487</v>
      </c>
      <c r="C14" s="271"/>
      <c r="D14" s="271"/>
      <c r="E14" s="271"/>
      <c r="F14" s="271"/>
      <c r="G14" s="271"/>
      <c r="H14" s="271"/>
      <c r="I14" s="271"/>
      <c r="J14" s="271"/>
      <c r="K14" s="271"/>
      <c r="L14" s="271"/>
      <c r="M14" s="271"/>
      <c r="N14" s="271"/>
    </row>
    <row r="15" spans="2:14" x14ac:dyDescent="0.25">
      <c r="B15" s="271" t="s">
        <v>2488</v>
      </c>
      <c r="C15" s="271" t="s">
        <v>2489</v>
      </c>
      <c r="D15" s="271"/>
      <c r="E15" s="271"/>
      <c r="F15" s="271"/>
      <c r="G15" s="271"/>
      <c r="H15" s="271"/>
      <c r="I15" s="271"/>
      <c r="J15" s="271"/>
      <c r="K15" s="271"/>
      <c r="L15" s="271"/>
      <c r="M15" s="271"/>
      <c r="N15" s="271"/>
    </row>
    <row r="16" spans="2:14" x14ac:dyDescent="0.25">
      <c r="B16" s="271" t="s">
        <v>2490</v>
      </c>
      <c r="C16" s="271"/>
      <c r="D16" s="271"/>
      <c r="E16" s="271"/>
      <c r="F16" s="271"/>
      <c r="G16" s="271"/>
      <c r="H16" s="271"/>
      <c r="I16" s="271"/>
      <c r="J16" s="271"/>
      <c r="K16" s="271"/>
      <c r="L16" s="271"/>
      <c r="M16" s="271"/>
      <c r="N16" s="271"/>
    </row>
    <row r="17" spans="2:14" x14ac:dyDescent="0.25">
      <c r="B17" s="271" t="s">
        <v>2491</v>
      </c>
      <c r="C17" s="271"/>
      <c r="D17" s="271"/>
      <c r="E17" s="271"/>
      <c r="F17" s="271"/>
      <c r="G17" s="271"/>
      <c r="H17" s="271"/>
      <c r="I17" s="271"/>
      <c r="J17" s="271"/>
      <c r="K17" s="271"/>
      <c r="L17" s="271"/>
      <c r="M17" s="271"/>
      <c r="N17" s="271"/>
    </row>
    <row r="18" spans="2:14" ht="8.25" customHeight="1" x14ac:dyDescent="0.25">
      <c r="B18" s="271"/>
      <c r="C18" s="271"/>
      <c r="D18" s="271"/>
      <c r="E18" s="271"/>
      <c r="F18" s="271"/>
      <c r="G18" s="271"/>
      <c r="H18" s="271"/>
      <c r="I18" s="271"/>
      <c r="J18" s="271"/>
      <c r="K18" s="271"/>
      <c r="L18" s="271"/>
      <c r="M18" s="271"/>
      <c r="N18" s="271"/>
    </row>
    <row r="19" spans="2:14" ht="28.5" customHeight="1" x14ac:dyDescent="0.25">
      <c r="B19" s="401" t="s">
        <v>2492</v>
      </c>
      <c r="C19" s="402"/>
      <c r="D19" s="274"/>
      <c r="E19" s="275" t="s">
        <v>32</v>
      </c>
      <c r="G19" s="276" t="s">
        <v>2493</v>
      </c>
      <c r="H19" s="274"/>
      <c r="I19" s="275" t="s">
        <v>2494</v>
      </c>
      <c r="J19" s="271"/>
      <c r="K19" s="271"/>
      <c r="L19" s="271"/>
      <c r="M19" s="271"/>
      <c r="N19" s="271"/>
    </row>
    <row r="20" spans="2:14" x14ac:dyDescent="0.25">
      <c r="B20" s="395"/>
      <c r="C20" s="396"/>
      <c r="D20" s="278" t="s">
        <v>2495</v>
      </c>
      <c r="E20" s="277"/>
      <c r="F20" s="279" t="s">
        <v>2495</v>
      </c>
      <c r="G20" s="280"/>
      <c r="H20" s="281" t="s">
        <v>2496</v>
      </c>
      <c r="I20" s="274" t="e">
        <f>B20/(E20*G20)</f>
        <v>#DIV/0!</v>
      </c>
      <c r="J20" s="271"/>
      <c r="K20" s="271"/>
      <c r="L20" s="271"/>
      <c r="M20" s="271"/>
      <c r="N20" s="271"/>
    </row>
    <row r="21" spans="2:14" ht="14.1" customHeight="1" x14ac:dyDescent="0.25">
      <c r="B21" s="282" t="s">
        <v>2497</v>
      </c>
      <c r="C21" s="271"/>
      <c r="D21" s="271"/>
      <c r="E21" s="271"/>
      <c r="F21" s="271"/>
      <c r="G21" s="271"/>
      <c r="H21" s="271"/>
      <c r="I21" s="271"/>
      <c r="J21" s="271"/>
      <c r="K21" s="271"/>
      <c r="L21" s="271"/>
      <c r="M21" s="271"/>
      <c r="N21" s="271"/>
    </row>
    <row r="22" spans="2:14" ht="14.1" customHeight="1" x14ac:dyDescent="0.25">
      <c r="B22" s="282" t="s">
        <v>2498</v>
      </c>
      <c r="C22" s="271"/>
      <c r="D22" s="271"/>
      <c r="E22" s="271"/>
      <c r="F22" s="271"/>
      <c r="G22" s="271"/>
      <c r="H22" s="271"/>
      <c r="I22" s="271"/>
      <c r="J22" s="271"/>
      <c r="K22" s="271"/>
      <c r="L22" s="271"/>
      <c r="M22" s="271"/>
      <c r="N22" s="271"/>
    </row>
    <row r="23" spans="2:14" ht="14.1" customHeight="1" x14ac:dyDescent="0.35">
      <c r="B23" s="282" t="s">
        <v>2499</v>
      </c>
      <c r="C23" s="283"/>
      <c r="D23" s="271"/>
      <c r="E23" s="271"/>
      <c r="F23" s="271"/>
      <c r="G23" s="271"/>
      <c r="H23" s="271"/>
      <c r="I23" s="271"/>
      <c r="J23" s="271"/>
      <c r="K23" s="271"/>
      <c r="L23" s="271"/>
      <c r="M23" s="271"/>
      <c r="N23" s="271"/>
    </row>
    <row r="24" spans="2:14" ht="13.5" customHeight="1" x14ac:dyDescent="0.25">
      <c r="B24" s="282" t="s">
        <v>2500</v>
      </c>
      <c r="C24" s="271"/>
      <c r="D24" s="271"/>
      <c r="E24" s="271"/>
      <c r="F24" s="271"/>
      <c r="G24" s="271"/>
      <c r="H24" s="271"/>
      <c r="I24" s="271"/>
      <c r="J24" s="271"/>
      <c r="K24" s="271"/>
      <c r="L24" s="271"/>
      <c r="M24" s="271"/>
      <c r="N24" s="271"/>
    </row>
    <row r="25" spans="2:14" ht="9" customHeight="1" x14ac:dyDescent="0.25">
      <c r="B25" s="271"/>
      <c r="C25" s="271"/>
      <c r="D25" s="271"/>
      <c r="E25" s="271"/>
      <c r="F25" s="271"/>
      <c r="G25" s="271"/>
      <c r="H25" s="271"/>
      <c r="I25" s="271"/>
      <c r="J25" s="271"/>
      <c r="K25" s="271"/>
      <c r="L25" s="271"/>
      <c r="M25" s="271"/>
      <c r="N25" s="271"/>
    </row>
    <row r="26" spans="2:14" x14ac:dyDescent="0.25">
      <c r="B26" s="272" t="s">
        <v>2501</v>
      </c>
      <c r="C26" s="271"/>
      <c r="D26" s="271"/>
      <c r="E26" s="271"/>
      <c r="F26" s="271"/>
      <c r="G26" s="271"/>
      <c r="H26" s="271"/>
      <c r="I26" s="271"/>
      <c r="J26" s="271"/>
      <c r="K26" s="271"/>
      <c r="L26" s="271"/>
      <c r="M26" s="271"/>
      <c r="N26" s="271"/>
    </row>
    <row r="27" spans="2:14" x14ac:dyDescent="0.25">
      <c r="B27" s="284" t="s">
        <v>2502</v>
      </c>
      <c r="C27" s="271"/>
      <c r="D27" s="271"/>
      <c r="E27" s="271"/>
      <c r="F27" s="271"/>
      <c r="G27" s="271"/>
      <c r="H27" s="271"/>
      <c r="I27" s="271"/>
      <c r="J27" s="271"/>
      <c r="K27" s="271"/>
      <c r="L27" s="271"/>
      <c r="M27" s="271"/>
      <c r="N27" s="271"/>
    </row>
    <row r="28" spans="2:14" x14ac:dyDescent="0.25">
      <c r="B28" s="271" t="s">
        <v>2503</v>
      </c>
      <c r="C28" s="271"/>
      <c r="D28" s="271"/>
      <c r="E28" s="271"/>
      <c r="F28" s="271"/>
      <c r="G28" s="271"/>
      <c r="H28" s="271"/>
      <c r="I28" s="271"/>
      <c r="J28" s="271"/>
      <c r="K28" s="271"/>
      <c r="L28" s="271"/>
      <c r="M28" s="271"/>
      <c r="N28" s="271"/>
    </row>
    <row r="29" spans="2:14" x14ac:dyDescent="0.25">
      <c r="B29" s="271" t="s">
        <v>2504</v>
      </c>
      <c r="C29" s="271"/>
      <c r="D29" s="271"/>
      <c r="E29" s="271"/>
      <c r="F29" s="271"/>
      <c r="G29" s="271"/>
      <c r="H29" s="271"/>
      <c r="I29" s="271"/>
      <c r="J29" s="271"/>
      <c r="K29" s="271"/>
      <c r="L29" s="271"/>
      <c r="M29" s="271"/>
      <c r="N29" s="271"/>
    </row>
    <row r="30" spans="2:14" ht="9" customHeight="1" x14ac:dyDescent="0.25">
      <c r="B30" s="271"/>
      <c r="C30" s="271"/>
      <c r="D30" s="271"/>
      <c r="E30" s="271"/>
      <c r="F30" s="271"/>
      <c r="G30" s="271"/>
      <c r="H30" s="271"/>
      <c r="I30" s="271"/>
      <c r="J30" s="271"/>
      <c r="K30" s="271"/>
      <c r="L30" s="271"/>
      <c r="M30" s="271"/>
      <c r="N30" s="271"/>
    </row>
    <row r="31" spans="2:14" x14ac:dyDescent="0.25">
      <c r="B31" s="271" t="s">
        <v>2505</v>
      </c>
      <c r="C31" s="271"/>
      <c r="D31" s="271"/>
      <c r="E31" s="271"/>
      <c r="F31" s="271"/>
      <c r="G31" s="271"/>
      <c r="H31" s="271"/>
      <c r="I31" s="271"/>
      <c r="J31" s="271"/>
      <c r="K31" s="271"/>
      <c r="L31" s="271"/>
      <c r="M31" s="271"/>
      <c r="N31" s="271"/>
    </row>
    <row r="32" spans="2:14" ht="15.6" x14ac:dyDescent="0.25">
      <c r="B32" s="271" t="s">
        <v>2506</v>
      </c>
      <c r="C32" s="271"/>
      <c r="D32" s="271"/>
      <c r="E32" s="271"/>
      <c r="F32" s="271"/>
      <c r="G32" s="271"/>
      <c r="H32" s="271"/>
      <c r="I32" s="271"/>
      <c r="J32" s="271"/>
      <c r="K32" s="271"/>
      <c r="L32" s="271"/>
      <c r="M32" s="271"/>
      <c r="N32" s="271"/>
    </row>
    <row r="33" spans="2:14" x14ac:dyDescent="0.25">
      <c r="B33" s="271" t="s">
        <v>2507</v>
      </c>
      <c r="C33" s="271"/>
      <c r="D33" s="271"/>
      <c r="E33" s="271"/>
      <c r="F33" s="271"/>
      <c r="G33" s="271"/>
      <c r="H33" s="271"/>
      <c r="I33" s="271"/>
      <c r="J33" s="271"/>
      <c r="K33" s="271"/>
      <c r="L33" s="271"/>
      <c r="M33" s="271"/>
      <c r="N33" s="271"/>
    </row>
    <row r="34" spans="2:14" x14ac:dyDescent="0.25">
      <c r="B34" s="271" t="s">
        <v>2508</v>
      </c>
      <c r="C34" s="271"/>
      <c r="D34" s="271"/>
      <c r="E34" s="271"/>
      <c r="F34" s="271"/>
      <c r="G34" s="271"/>
      <c r="H34" s="271"/>
      <c r="I34" s="271"/>
      <c r="J34" s="271"/>
      <c r="K34" s="271"/>
      <c r="L34" s="271"/>
      <c r="M34" s="271"/>
      <c r="N34" s="271"/>
    </row>
    <row r="35" spans="2:14" x14ac:dyDescent="0.25">
      <c r="B35" s="271"/>
      <c r="C35" s="271"/>
      <c r="D35" s="271"/>
      <c r="E35" s="271"/>
      <c r="F35" s="271"/>
      <c r="G35" s="271"/>
      <c r="H35" s="271"/>
      <c r="I35" s="271"/>
      <c r="J35" s="271"/>
      <c r="K35" s="271"/>
      <c r="L35" s="271"/>
      <c r="M35" s="271"/>
      <c r="N35" s="271"/>
    </row>
    <row r="36" spans="2:14" ht="4.5" customHeight="1" x14ac:dyDescent="0.25">
      <c r="B36" s="271"/>
      <c r="C36" s="271"/>
      <c r="D36" s="271"/>
      <c r="E36" s="271"/>
      <c r="F36" s="271"/>
      <c r="G36" s="271"/>
      <c r="H36" s="271"/>
      <c r="I36" s="271"/>
      <c r="J36" s="271"/>
      <c r="K36" s="271"/>
      <c r="L36" s="271"/>
      <c r="M36" s="271"/>
      <c r="N36" s="271"/>
    </row>
    <row r="37" spans="2:14" ht="42.75" customHeight="1" x14ac:dyDescent="0.25">
      <c r="B37" s="403" t="s">
        <v>2509</v>
      </c>
      <c r="C37" s="404"/>
      <c r="D37" s="286"/>
      <c r="E37" s="285" t="s">
        <v>2510</v>
      </c>
      <c r="F37" s="286"/>
      <c r="G37" s="287" t="s">
        <v>2493</v>
      </c>
      <c r="H37" s="288"/>
      <c r="I37" s="289"/>
      <c r="J37" s="289"/>
      <c r="K37" s="289"/>
      <c r="L37" s="289"/>
      <c r="M37" s="290" t="s">
        <v>2511</v>
      </c>
      <c r="N37" s="271"/>
    </row>
    <row r="38" spans="2:14" x14ac:dyDescent="0.25">
      <c r="B38" s="395"/>
      <c r="C38" s="396"/>
      <c r="D38" s="274" t="s">
        <v>2512</v>
      </c>
      <c r="E38" s="277"/>
      <c r="F38" s="278" t="s">
        <v>2495</v>
      </c>
      <c r="G38" s="291"/>
      <c r="H38" s="292" t="s">
        <v>2495</v>
      </c>
      <c r="I38" s="293">
        <v>1500</v>
      </c>
      <c r="J38" s="293" t="s">
        <v>2513</v>
      </c>
      <c r="K38" s="293">
        <v>70</v>
      </c>
      <c r="L38" s="293" t="s">
        <v>2496</v>
      </c>
      <c r="M38" s="293" t="e">
        <f>(B38*E38/(G38*I38))+K38</f>
        <v>#DIV/0!</v>
      </c>
      <c r="N38" s="271"/>
    </row>
    <row r="39" spans="2:14" ht="14.1" customHeight="1" x14ac:dyDescent="0.25">
      <c r="B39" s="391" t="s">
        <v>2514</v>
      </c>
      <c r="C39" s="391"/>
      <c r="D39" s="391"/>
      <c r="E39" s="391"/>
      <c r="F39" s="391"/>
      <c r="G39" s="391"/>
      <c r="H39" s="391"/>
      <c r="I39" s="391"/>
      <c r="J39" s="282"/>
      <c r="K39" s="282"/>
      <c r="L39" s="282"/>
      <c r="M39" s="282"/>
      <c r="N39" s="271"/>
    </row>
    <row r="40" spans="2:14" ht="14.1" customHeight="1" x14ac:dyDescent="0.25">
      <c r="B40" s="392" t="s">
        <v>2515</v>
      </c>
      <c r="C40" s="392"/>
      <c r="D40" s="392"/>
      <c r="E40" s="392"/>
      <c r="F40" s="392"/>
      <c r="G40" s="392"/>
      <c r="H40" s="392"/>
      <c r="I40" s="392"/>
      <c r="J40" s="392"/>
      <c r="K40" s="392"/>
      <c r="L40" s="392"/>
      <c r="M40" s="392"/>
      <c r="N40" s="392"/>
    </row>
    <row r="41" spans="2:14" ht="14.1" customHeight="1" x14ac:dyDescent="0.25">
      <c r="B41" s="282" t="s">
        <v>2516</v>
      </c>
      <c r="C41" s="282"/>
      <c r="D41" s="282"/>
      <c r="E41" s="282"/>
      <c r="F41" s="282"/>
      <c r="G41" s="282"/>
      <c r="H41" s="282"/>
      <c r="I41" s="282"/>
      <c r="J41" s="282"/>
      <c r="K41" s="282"/>
      <c r="L41" s="282"/>
      <c r="M41" s="282"/>
      <c r="N41" s="271"/>
    </row>
    <row r="42" spans="2:14" ht="9" customHeight="1" x14ac:dyDescent="0.25">
      <c r="B42" s="282"/>
      <c r="C42" s="282"/>
      <c r="D42" s="282"/>
      <c r="E42" s="282"/>
      <c r="F42" s="282"/>
      <c r="G42" s="282"/>
      <c r="H42" s="282"/>
      <c r="I42" s="282"/>
      <c r="J42" s="282"/>
      <c r="K42" s="282"/>
      <c r="L42" s="282"/>
      <c r="M42" s="282"/>
      <c r="N42" s="271"/>
    </row>
    <row r="43" spans="2:14" x14ac:dyDescent="0.25">
      <c r="B43" s="284" t="s">
        <v>2517</v>
      </c>
      <c r="C43" s="271"/>
      <c r="D43" s="271"/>
      <c r="E43" s="271"/>
      <c r="F43" s="271"/>
      <c r="G43" s="271"/>
      <c r="H43" s="271"/>
      <c r="I43" s="271"/>
      <c r="J43" s="271"/>
      <c r="K43" s="271"/>
      <c r="L43" s="271"/>
      <c r="M43" s="271"/>
      <c r="N43" s="271"/>
    </row>
    <row r="44" spans="2:14" x14ac:dyDescent="0.25">
      <c r="B44" s="271" t="s">
        <v>2518</v>
      </c>
      <c r="C44" s="271"/>
      <c r="D44" s="271"/>
      <c r="E44" s="271"/>
      <c r="F44" s="271"/>
      <c r="G44" s="271"/>
      <c r="H44" s="271"/>
      <c r="I44" s="271"/>
      <c r="J44" s="271"/>
      <c r="K44" s="271"/>
      <c r="L44" s="271"/>
      <c r="M44" s="271"/>
      <c r="N44" s="271"/>
    </row>
    <row r="45" spans="2:14" x14ac:dyDescent="0.25">
      <c r="B45" s="271" t="s">
        <v>2519</v>
      </c>
      <c r="C45" s="271"/>
      <c r="D45" s="271"/>
      <c r="E45" s="271"/>
      <c r="F45" s="271"/>
      <c r="G45" s="271"/>
      <c r="H45" s="271"/>
      <c r="I45" s="271"/>
      <c r="J45" s="271"/>
      <c r="K45" s="271"/>
      <c r="L45" s="271"/>
      <c r="M45" s="271"/>
      <c r="N45" s="271"/>
    </row>
    <row r="46" spans="2:14" ht="8.25" customHeight="1" x14ac:dyDescent="0.25">
      <c r="B46" s="271"/>
      <c r="C46" s="271"/>
      <c r="D46" s="271"/>
      <c r="E46" s="271"/>
      <c r="F46" s="271"/>
      <c r="G46" s="271"/>
      <c r="H46" s="271"/>
      <c r="I46" s="271"/>
      <c r="J46" s="271"/>
      <c r="K46" s="271"/>
      <c r="L46" s="271"/>
      <c r="M46" s="271"/>
      <c r="N46" s="271"/>
    </row>
    <row r="47" spans="2:14" x14ac:dyDescent="0.25">
      <c r="B47" s="271" t="s">
        <v>2520</v>
      </c>
      <c r="C47" s="271"/>
      <c r="D47" s="271"/>
      <c r="E47" s="271"/>
      <c r="F47" s="271"/>
      <c r="G47" s="271"/>
      <c r="H47" s="271"/>
      <c r="I47" s="271"/>
      <c r="J47" s="271"/>
      <c r="K47" s="271"/>
      <c r="L47" s="271"/>
      <c r="M47" s="271"/>
      <c r="N47" s="271"/>
    </row>
    <row r="48" spans="2:14" x14ac:dyDescent="0.25">
      <c r="B48" s="271" t="s">
        <v>2521</v>
      </c>
      <c r="C48" s="271"/>
      <c r="D48" s="271"/>
      <c r="E48" s="271"/>
      <c r="F48" s="271"/>
      <c r="G48" s="271"/>
      <c r="H48" s="271"/>
      <c r="I48" s="271"/>
      <c r="J48" s="271"/>
      <c r="K48" s="271"/>
      <c r="L48" s="271"/>
      <c r="M48" s="271"/>
      <c r="N48" s="271"/>
    </row>
    <row r="49" spans="2:14" x14ac:dyDescent="0.25">
      <c r="B49" s="270" t="s">
        <v>2522</v>
      </c>
      <c r="C49" s="271"/>
      <c r="D49" s="271"/>
      <c r="E49" s="271"/>
      <c r="F49" s="271"/>
      <c r="G49" s="271"/>
      <c r="H49" s="271"/>
      <c r="I49" s="271"/>
      <c r="J49" s="271"/>
      <c r="K49" s="271"/>
      <c r="L49" s="271"/>
      <c r="M49" s="271"/>
      <c r="N49" s="271"/>
    </row>
    <row r="50" spans="2:14" x14ac:dyDescent="0.25">
      <c r="B50" s="271"/>
      <c r="C50" s="271"/>
      <c r="D50" s="271"/>
      <c r="E50" s="271"/>
      <c r="F50" s="271"/>
      <c r="G50" s="271"/>
      <c r="H50" s="271"/>
      <c r="I50" s="271"/>
      <c r="J50" s="271"/>
      <c r="K50" s="271"/>
      <c r="L50" s="271"/>
      <c r="M50" s="271"/>
      <c r="N50" s="271"/>
    </row>
    <row r="51" spans="2:14" ht="5.25" customHeight="1" x14ac:dyDescent="0.25">
      <c r="B51" s="271"/>
      <c r="C51" s="271"/>
      <c r="D51" s="271"/>
      <c r="E51" s="271"/>
      <c r="F51" s="271"/>
      <c r="G51" s="271"/>
      <c r="H51" s="271"/>
      <c r="I51" s="271"/>
      <c r="J51" s="271"/>
      <c r="K51" s="271"/>
      <c r="L51" s="271"/>
      <c r="M51" s="271"/>
      <c r="N51" s="271"/>
    </row>
    <row r="52" spans="2:14" ht="29.25" customHeight="1" x14ac:dyDescent="0.25">
      <c r="B52" s="393" t="s">
        <v>2523</v>
      </c>
      <c r="C52" s="394"/>
      <c r="D52" s="274"/>
      <c r="E52" s="275" t="s">
        <v>32</v>
      </c>
      <c r="G52" s="276" t="s">
        <v>2493</v>
      </c>
      <c r="H52" s="274"/>
      <c r="I52" s="275" t="s">
        <v>2494</v>
      </c>
      <c r="J52" s="271"/>
      <c r="K52" s="271"/>
      <c r="L52" s="271"/>
      <c r="M52" s="271"/>
      <c r="N52" s="271"/>
    </row>
    <row r="53" spans="2:14" x14ac:dyDescent="0.25">
      <c r="B53" s="395"/>
      <c r="C53" s="396"/>
      <c r="D53" s="278" t="s">
        <v>2495</v>
      </c>
      <c r="E53" s="277"/>
      <c r="F53" s="279" t="s">
        <v>2495</v>
      </c>
      <c r="G53" s="280"/>
      <c r="H53" s="281" t="s">
        <v>2496</v>
      </c>
      <c r="I53" s="274" t="e">
        <f>B53/(E53*G53)</f>
        <v>#DIV/0!</v>
      </c>
      <c r="J53" s="271"/>
      <c r="K53" s="271"/>
      <c r="L53" s="271"/>
      <c r="M53" s="271"/>
      <c r="N53" s="271"/>
    </row>
    <row r="54" spans="2:14" ht="14.1" customHeight="1" x14ac:dyDescent="0.25">
      <c r="B54" s="282" t="s">
        <v>2524</v>
      </c>
      <c r="C54" s="295"/>
      <c r="D54" s="271"/>
      <c r="E54" s="271"/>
      <c r="F54" s="271"/>
      <c r="G54" s="271"/>
      <c r="H54" s="271"/>
      <c r="I54" s="271"/>
      <c r="J54" s="271"/>
      <c r="K54" s="271"/>
      <c r="L54" s="271"/>
      <c r="M54" s="271"/>
      <c r="N54" s="271"/>
    </row>
    <row r="55" spans="2:14" ht="14.1" customHeight="1" x14ac:dyDescent="0.25">
      <c r="B55" s="295" t="s">
        <v>2525</v>
      </c>
      <c r="C55" s="295"/>
      <c r="D55" s="271"/>
      <c r="E55" s="271"/>
      <c r="F55" s="271"/>
      <c r="G55" s="271"/>
      <c r="H55" s="271"/>
      <c r="I55" s="271"/>
      <c r="J55" s="271"/>
      <c r="K55" s="271"/>
      <c r="L55" s="271"/>
      <c r="M55" s="271"/>
      <c r="N55" s="271"/>
    </row>
    <row r="56" spans="2:14" ht="14.1" customHeight="1" x14ac:dyDescent="0.25">
      <c r="B56" s="392" t="s">
        <v>2515</v>
      </c>
      <c r="C56" s="392"/>
      <c r="D56" s="392"/>
      <c r="E56" s="392"/>
      <c r="F56" s="392"/>
      <c r="G56" s="392"/>
      <c r="H56" s="392"/>
      <c r="I56" s="392"/>
      <c r="J56" s="392"/>
      <c r="K56" s="392"/>
      <c r="L56" s="392"/>
      <c r="M56" s="392"/>
      <c r="N56" s="392"/>
    </row>
    <row r="57" spans="2:14" ht="12.75" customHeight="1" x14ac:dyDescent="0.25">
      <c r="B57" s="282" t="s">
        <v>2516</v>
      </c>
      <c r="C57" s="282"/>
      <c r="D57" s="282"/>
      <c r="E57" s="282"/>
      <c r="F57" s="282"/>
      <c r="G57" s="282"/>
      <c r="H57" s="282"/>
      <c r="I57" s="282"/>
      <c r="J57" s="282"/>
      <c r="K57" s="282"/>
      <c r="L57" s="282"/>
      <c r="M57" s="282"/>
      <c r="N57" s="271"/>
    </row>
    <row r="58" spans="2:14" ht="12.75" customHeight="1" x14ac:dyDescent="0.25">
      <c r="B58" s="282"/>
      <c r="C58" s="282"/>
      <c r="D58" s="282"/>
      <c r="E58" s="282"/>
      <c r="F58" s="282"/>
      <c r="G58" s="282"/>
      <c r="H58" s="282"/>
      <c r="I58" s="282"/>
      <c r="J58" s="282"/>
      <c r="K58" s="282"/>
      <c r="L58" s="282"/>
      <c r="M58" s="282"/>
      <c r="N58" s="271"/>
    </row>
    <row r="59" spans="2:14" ht="14.1" customHeight="1" x14ac:dyDescent="0.25">
      <c r="B59" s="296"/>
      <c r="C59" s="297" t="s">
        <v>2496</v>
      </c>
      <c r="D59" s="271" t="s">
        <v>2526</v>
      </c>
      <c r="E59" s="271"/>
      <c r="F59" s="271"/>
      <c r="G59" s="271"/>
      <c r="H59" s="271"/>
      <c r="I59" s="271"/>
      <c r="J59" s="271"/>
      <c r="K59" s="271"/>
      <c r="L59" s="271"/>
      <c r="M59" s="271"/>
      <c r="N59" s="271"/>
    </row>
    <row r="60" spans="2:14" ht="14.1" customHeight="1" x14ac:dyDescent="0.25">
      <c r="B60" s="271"/>
      <c r="C60" s="297"/>
      <c r="D60" s="271"/>
      <c r="E60" s="271"/>
      <c r="F60" s="271"/>
      <c r="G60" s="271"/>
      <c r="H60" s="271"/>
      <c r="I60" s="271"/>
      <c r="J60" s="271"/>
      <c r="K60" s="271"/>
      <c r="L60" s="271"/>
      <c r="M60" s="271"/>
      <c r="N60" s="271"/>
    </row>
    <row r="61" spans="2:14" ht="14.1" customHeight="1" x14ac:dyDescent="0.25">
      <c r="B61" s="271"/>
      <c r="C61" s="297"/>
      <c r="D61" s="271"/>
      <c r="E61" s="271"/>
      <c r="F61" s="271"/>
      <c r="G61" s="271"/>
      <c r="H61" s="271"/>
      <c r="I61" s="271"/>
      <c r="J61" s="271"/>
      <c r="K61" s="271"/>
      <c r="L61" s="271"/>
      <c r="M61" s="271"/>
      <c r="N61" s="271"/>
    </row>
    <row r="62" spans="2:14" ht="14.1" customHeight="1" x14ac:dyDescent="0.25">
      <c r="B62" s="271"/>
      <c r="C62" s="297"/>
      <c r="D62" s="271"/>
      <c r="E62" s="271"/>
      <c r="F62" s="271"/>
      <c r="G62" s="271"/>
      <c r="H62" s="271"/>
      <c r="I62" s="271"/>
      <c r="J62" s="271"/>
      <c r="K62" s="271"/>
      <c r="L62" s="271"/>
      <c r="M62" s="271"/>
      <c r="N62" s="271"/>
    </row>
    <row r="63" spans="2:14" ht="14.1" customHeight="1" x14ac:dyDescent="0.25">
      <c r="B63" s="271"/>
      <c r="C63" s="297"/>
      <c r="D63" s="271"/>
      <c r="E63" s="271"/>
      <c r="F63" s="271"/>
      <c r="G63" s="397" t="s">
        <v>2527</v>
      </c>
      <c r="H63" s="397"/>
      <c r="I63" s="397"/>
      <c r="J63" s="397"/>
      <c r="K63" s="397"/>
      <c r="L63" s="397"/>
      <c r="M63" s="397"/>
      <c r="N63" s="397"/>
    </row>
    <row r="64" spans="2:14" ht="3.75" customHeight="1" x14ac:dyDescent="0.25">
      <c r="B64" s="298"/>
      <c r="C64" s="299"/>
      <c r="D64" s="298"/>
      <c r="E64" s="298"/>
      <c r="F64" s="298"/>
      <c r="G64" s="300"/>
      <c r="H64" s="300"/>
      <c r="I64" s="300"/>
      <c r="J64" s="300"/>
      <c r="K64" s="300"/>
      <c r="L64" s="300"/>
      <c r="M64" s="300"/>
      <c r="N64" s="300"/>
    </row>
    <row r="65" spans="2:14" ht="14.1" customHeight="1" x14ac:dyDescent="0.25">
      <c r="B65" s="271"/>
      <c r="C65" s="297"/>
      <c r="D65" s="271"/>
      <c r="E65" s="271"/>
      <c r="F65" s="271"/>
      <c r="G65" s="271"/>
      <c r="H65" s="271"/>
      <c r="I65" s="271"/>
      <c r="J65" s="271"/>
      <c r="K65" s="271"/>
      <c r="L65" s="271"/>
      <c r="M65" s="271"/>
      <c r="N65" s="271"/>
    </row>
    <row r="66" spans="2:14" x14ac:dyDescent="0.25">
      <c r="B66" s="272" t="s">
        <v>2528</v>
      </c>
      <c r="C66" s="271"/>
      <c r="D66" s="271"/>
      <c r="E66" s="271"/>
      <c r="F66" s="271"/>
      <c r="G66" s="271"/>
      <c r="H66" s="271"/>
      <c r="I66" s="271"/>
      <c r="J66" s="271"/>
      <c r="K66" s="271"/>
      <c r="L66" s="271"/>
      <c r="M66" s="271"/>
      <c r="N66" s="271"/>
    </row>
    <row r="67" spans="2:14" x14ac:dyDescent="0.25">
      <c r="B67" s="284" t="s">
        <v>2502</v>
      </c>
      <c r="C67" s="271"/>
      <c r="D67" s="271"/>
      <c r="E67" s="271"/>
      <c r="F67" s="271"/>
      <c r="G67" s="271"/>
      <c r="H67" s="271"/>
      <c r="I67" s="271"/>
      <c r="J67" s="271"/>
      <c r="K67" s="271"/>
      <c r="L67" s="271"/>
      <c r="M67" s="271"/>
      <c r="N67" s="271"/>
    </row>
    <row r="68" spans="2:14" x14ac:dyDescent="0.25">
      <c r="B68" s="271" t="s">
        <v>2529</v>
      </c>
      <c r="C68" s="271"/>
      <c r="D68" s="271"/>
      <c r="E68" s="271"/>
      <c r="F68" s="271"/>
      <c r="G68" s="271"/>
      <c r="H68" s="271"/>
      <c r="I68" s="271"/>
      <c r="J68" s="271"/>
      <c r="K68" s="271"/>
      <c r="L68" s="271"/>
      <c r="M68" s="271"/>
      <c r="N68" s="271"/>
    </row>
    <row r="69" spans="2:14" x14ac:dyDescent="0.25">
      <c r="B69" s="271" t="s">
        <v>2530</v>
      </c>
      <c r="C69" s="271"/>
      <c r="D69" s="271"/>
      <c r="E69" s="271"/>
      <c r="F69" s="271"/>
      <c r="G69" s="271"/>
      <c r="H69" s="271"/>
      <c r="I69" s="271"/>
      <c r="J69" s="271"/>
      <c r="K69" s="271"/>
      <c r="L69" s="271"/>
      <c r="M69" s="271"/>
      <c r="N69" s="271"/>
    </row>
    <row r="70" spans="2:14" x14ac:dyDescent="0.25">
      <c r="B70" s="271"/>
      <c r="C70" s="271"/>
      <c r="D70" s="271"/>
      <c r="E70" s="271"/>
      <c r="F70" s="271"/>
      <c r="G70" s="271"/>
      <c r="H70" s="271"/>
      <c r="I70" s="271"/>
      <c r="J70" s="271"/>
      <c r="K70" s="271"/>
      <c r="L70" s="271"/>
      <c r="M70" s="271"/>
      <c r="N70" s="271"/>
    </row>
    <row r="71" spans="2:14" x14ac:dyDescent="0.25">
      <c r="B71" s="271" t="s">
        <v>2531</v>
      </c>
      <c r="C71" s="271"/>
      <c r="D71" s="271"/>
      <c r="E71" s="271"/>
      <c r="F71" s="271"/>
      <c r="G71" s="271"/>
      <c r="H71" s="271"/>
      <c r="I71" s="271"/>
      <c r="J71" s="271"/>
      <c r="K71" s="271"/>
      <c r="L71" s="271"/>
      <c r="M71" s="271"/>
      <c r="N71" s="271"/>
    </row>
    <row r="72" spans="2:14" x14ac:dyDescent="0.25">
      <c r="B72" s="271" t="s">
        <v>2532</v>
      </c>
      <c r="C72" s="271"/>
      <c r="D72" s="271"/>
      <c r="E72" s="271"/>
      <c r="F72" s="271"/>
      <c r="G72" s="271"/>
      <c r="H72" s="271"/>
      <c r="I72" s="271"/>
      <c r="J72" s="271"/>
      <c r="K72" s="271"/>
      <c r="L72" s="271"/>
      <c r="M72" s="271"/>
      <c r="N72" s="271"/>
    </row>
    <row r="73" spans="2:14" x14ac:dyDescent="0.25">
      <c r="B73" s="271" t="s">
        <v>2533</v>
      </c>
      <c r="C73" s="271"/>
      <c r="D73" s="271"/>
      <c r="E73" s="271"/>
      <c r="F73" s="271"/>
      <c r="G73" s="271"/>
      <c r="H73" s="271"/>
      <c r="I73" s="271"/>
      <c r="J73" s="271"/>
      <c r="K73" s="271"/>
      <c r="L73" s="271"/>
      <c r="M73" s="271"/>
      <c r="N73" s="271"/>
    </row>
    <row r="74" spans="2:14" x14ac:dyDescent="0.25">
      <c r="B74" s="271"/>
      <c r="C74" s="271"/>
      <c r="D74" s="271"/>
      <c r="E74" s="271"/>
      <c r="F74" s="271"/>
      <c r="G74" s="271"/>
      <c r="H74" s="271"/>
      <c r="I74" s="271"/>
      <c r="J74" s="271"/>
      <c r="K74" s="271"/>
      <c r="L74" s="271"/>
      <c r="M74" s="271"/>
      <c r="N74" s="271"/>
    </row>
    <row r="75" spans="2:14" ht="42" x14ac:dyDescent="0.25">
      <c r="B75" s="393" t="s">
        <v>2534</v>
      </c>
      <c r="C75" s="394"/>
      <c r="D75" s="274"/>
      <c r="E75" s="273" t="s">
        <v>2510</v>
      </c>
      <c r="F75" s="301"/>
      <c r="G75" s="273" t="s">
        <v>2535</v>
      </c>
      <c r="H75" s="301"/>
      <c r="I75" s="301"/>
      <c r="J75" s="301"/>
      <c r="K75" s="301"/>
      <c r="L75" s="301"/>
      <c r="M75" s="273" t="s">
        <v>2536</v>
      </c>
      <c r="N75" s="271"/>
    </row>
    <row r="76" spans="2:14" x14ac:dyDescent="0.25">
      <c r="B76" s="395"/>
      <c r="C76" s="396"/>
      <c r="D76" s="274" t="s">
        <v>2512</v>
      </c>
      <c r="E76" s="291"/>
      <c r="F76" s="278" t="s">
        <v>2495</v>
      </c>
      <c r="G76" s="291"/>
      <c r="H76" s="278" t="s">
        <v>2495</v>
      </c>
      <c r="I76" s="293">
        <v>1500</v>
      </c>
      <c r="J76" s="293" t="s">
        <v>2513</v>
      </c>
      <c r="K76" s="293">
        <v>30</v>
      </c>
      <c r="L76" s="293" t="s">
        <v>2496</v>
      </c>
      <c r="M76" s="293" t="e">
        <f>(B76*E76/(G76*I76))+K76</f>
        <v>#DIV/0!</v>
      </c>
      <c r="N76" s="271"/>
    </row>
    <row r="77" spans="2:14" x14ac:dyDescent="0.25">
      <c r="B77" s="294" t="s">
        <v>2537</v>
      </c>
      <c r="C77" s="294"/>
      <c r="D77" s="294"/>
      <c r="E77" s="294"/>
      <c r="F77" s="294"/>
      <c r="G77" s="294"/>
      <c r="H77" s="294"/>
      <c r="I77" s="282"/>
      <c r="J77" s="282"/>
      <c r="K77" s="282"/>
      <c r="L77" s="282"/>
      <c r="M77" s="282"/>
      <c r="N77" s="282"/>
    </row>
    <row r="78" spans="2:14" x14ac:dyDescent="0.25">
      <c r="B78" s="294" t="s">
        <v>2538</v>
      </c>
      <c r="C78" s="294"/>
      <c r="D78" s="294"/>
      <c r="E78" s="294"/>
      <c r="F78" s="294"/>
      <c r="G78" s="294"/>
      <c r="H78" s="294"/>
      <c r="I78" s="282"/>
      <c r="J78" s="282"/>
      <c r="K78" s="282"/>
      <c r="L78" s="282"/>
      <c r="M78" s="282"/>
      <c r="N78" s="282"/>
    </row>
    <row r="79" spans="2:14" x14ac:dyDescent="0.25">
      <c r="B79" s="294" t="s">
        <v>2539</v>
      </c>
      <c r="C79" s="294"/>
      <c r="D79" s="282"/>
      <c r="E79" s="282"/>
      <c r="F79" s="282"/>
      <c r="G79" s="282"/>
      <c r="H79" s="282"/>
      <c r="I79" s="282"/>
      <c r="J79" s="282"/>
      <c r="K79" s="282"/>
      <c r="L79" s="282"/>
      <c r="M79" s="282"/>
      <c r="N79" s="282"/>
    </row>
    <row r="80" spans="2:14" x14ac:dyDescent="0.25">
      <c r="B80" s="271"/>
      <c r="C80" s="271"/>
      <c r="D80" s="271"/>
      <c r="E80" s="271"/>
      <c r="F80" s="271"/>
      <c r="G80" s="271"/>
      <c r="H80" s="271"/>
      <c r="I80" s="271"/>
      <c r="J80" s="271"/>
      <c r="K80" s="271"/>
      <c r="L80" s="271"/>
      <c r="M80" s="271"/>
      <c r="N80" s="271"/>
    </row>
    <row r="81" spans="2:14" x14ac:dyDescent="0.25">
      <c r="B81" s="284" t="s">
        <v>2517</v>
      </c>
      <c r="C81" s="271"/>
      <c r="D81" s="271"/>
      <c r="E81" s="271"/>
      <c r="F81" s="271"/>
      <c r="G81" s="271"/>
      <c r="H81" s="271"/>
      <c r="I81" s="271"/>
      <c r="J81" s="271"/>
      <c r="K81" s="271"/>
      <c r="L81" s="271"/>
      <c r="M81" s="271"/>
      <c r="N81" s="271"/>
    </row>
    <row r="82" spans="2:14" x14ac:dyDescent="0.25">
      <c r="B82" s="271" t="s">
        <v>2540</v>
      </c>
      <c r="C82" s="271"/>
      <c r="D82" s="271"/>
      <c r="E82" s="271"/>
      <c r="F82" s="271"/>
      <c r="G82" s="271"/>
      <c r="H82" s="271"/>
      <c r="I82" s="271"/>
      <c r="J82" s="271"/>
      <c r="K82" s="271"/>
      <c r="L82" s="271"/>
      <c r="M82" s="271"/>
      <c r="N82" s="271"/>
    </row>
    <row r="83" spans="2:14" x14ac:dyDescent="0.25">
      <c r="B83" s="271" t="s">
        <v>2541</v>
      </c>
      <c r="C83" s="271"/>
      <c r="D83" s="271"/>
      <c r="E83" s="271"/>
      <c r="F83" s="271"/>
      <c r="G83" s="271"/>
      <c r="H83" s="271"/>
      <c r="I83" s="271"/>
      <c r="J83" s="271"/>
      <c r="K83" s="271"/>
      <c r="L83" s="271"/>
      <c r="M83" s="271"/>
      <c r="N83" s="271"/>
    </row>
    <row r="84" spans="2:14" x14ac:dyDescent="0.25">
      <c r="B84" s="271"/>
      <c r="C84" s="271"/>
      <c r="D84" s="271"/>
      <c r="E84" s="271"/>
      <c r="F84" s="271"/>
      <c r="G84" s="271"/>
      <c r="H84" s="271"/>
      <c r="I84" s="271"/>
      <c r="J84" s="271"/>
      <c r="K84" s="271"/>
      <c r="L84" s="271"/>
      <c r="M84" s="271"/>
      <c r="N84" s="271"/>
    </row>
    <row r="85" spans="2:14" x14ac:dyDescent="0.25">
      <c r="B85" s="271" t="s">
        <v>2542</v>
      </c>
      <c r="C85" s="271"/>
      <c r="D85" s="271"/>
      <c r="E85" s="271"/>
      <c r="F85" s="271"/>
      <c r="G85" s="271"/>
      <c r="H85" s="271"/>
      <c r="I85" s="271"/>
      <c r="J85" s="271"/>
      <c r="K85" s="271"/>
      <c r="L85" s="271"/>
      <c r="M85" s="271"/>
      <c r="N85" s="271"/>
    </row>
    <row r="86" spans="2:14" x14ac:dyDescent="0.25">
      <c r="B86" s="271" t="s">
        <v>2543</v>
      </c>
      <c r="C86" s="271"/>
      <c r="D86" s="271"/>
      <c r="E86" s="271"/>
      <c r="F86" s="271"/>
      <c r="G86" s="271"/>
      <c r="H86" s="271"/>
      <c r="I86" s="271"/>
      <c r="J86" s="271"/>
      <c r="K86" s="271"/>
      <c r="L86" s="271"/>
      <c r="M86" s="271"/>
      <c r="N86" s="271"/>
    </row>
    <row r="87" spans="2:14" x14ac:dyDescent="0.25">
      <c r="B87" s="271" t="s">
        <v>2544</v>
      </c>
      <c r="C87" s="271"/>
      <c r="D87" s="271"/>
      <c r="E87" s="271"/>
      <c r="F87" s="271"/>
      <c r="G87" s="271"/>
      <c r="H87" s="271"/>
      <c r="I87" s="271"/>
      <c r="J87" s="271"/>
      <c r="K87" s="271"/>
      <c r="L87" s="271"/>
      <c r="M87" s="271"/>
      <c r="N87" s="271"/>
    </row>
    <row r="88" spans="2:14" x14ac:dyDescent="0.25">
      <c r="B88" s="271"/>
      <c r="C88" s="271"/>
      <c r="D88" s="271"/>
      <c r="E88" s="271"/>
      <c r="F88" s="271"/>
      <c r="G88" s="271"/>
      <c r="H88" s="271"/>
      <c r="I88" s="271"/>
      <c r="J88" s="271"/>
      <c r="K88" s="271"/>
      <c r="L88" s="271"/>
      <c r="M88" s="271"/>
      <c r="N88" s="271"/>
    </row>
    <row r="89" spans="2:14" x14ac:dyDescent="0.25">
      <c r="B89" s="271"/>
      <c r="C89" s="271"/>
      <c r="D89" s="271"/>
      <c r="E89" s="271"/>
      <c r="F89" s="271"/>
      <c r="G89" s="271"/>
      <c r="H89" s="271"/>
      <c r="I89" s="271"/>
      <c r="J89" s="271"/>
      <c r="K89" s="271"/>
      <c r="L89" s="271"/>
      <c r="M89" s="271"/>
      <c r="N89" s="271"/>
    </row>
    <row r="90" spans="2:14" ht="26.4" x14ac:dyDescent="0.25">
      <c r="B90" s="393" t="s">
        <v>2523</v>
      </c>
      <c r="C90" s="394"/>
      <c r="D90" s="274"/>
      <c r="E90" s="275" t="s">
        <v>32</v>
      </c>
      <c r="G90" s="276" t="s">
        <v>2493</v>
      </c>
      <c r="H90" s="274"/>
      <c r="I90" s="275" t="s">
        <v>2494</v>
      </c>
      <c r="J90" s="271"/>
      <c r="K90" s="271"/>
      <c r="L90" s="271"/>
      <c r="M90" s="271"/>
      <c r="N90" s="271"/>
    </row>
    <row r="91" spans="2:14" x14ac:dyDescent="0.25">
      <c r="B91" s="395"/>
      <c r="C91" s="396"/>
      <c r="D91" s="278" t="s">
        <v>2495</v>
      </c>
      <c r="E91" s="277"/>
      <c r="F91" s="279" t="s">
        <v>2495</v>
      </c>
      <c r="G91" s="280"/>
      <c r="H91" s="281" t="s">
        <v>2496</v>
      </c>
      <c r="I91" s="274" t="e">
        <f>B91/(E91*G91)</f>
        <v>#DIV/0!</v>
      </c>
      <c r="J91" s="271"/>
      <c r="K91" s="271"/>
      <c r="L91" s="271"/>
      <c r="M91" s="271"/>
      <c r="N91" s="271"/>
    </row>
    <row r="92" spans="2:14" x14ac:dyDescent="0.25">
      <c r="B92" s="390" t="s">
        <v>2545</v>
      </c>
      <c r="C92" s="390"/>
      <c r="D92" s="390"/>
      <c r="E92" s="390"/>
      <c r="F92" s="390"/>
      <c r="G92" s="390"/>
      <c r="H92" s="390"/>
      <c r="I92" s="390"/>
      <c r="J92" s="390"/>
      <c r="K92" s="390"/>
      <c r="L92" s="390"/>
      <c r="M92" s="390"/>
      <c r="N92" s="390"/>
    </row>
    <row r="93" spans="2:14" x14ac:dyDescent="0.25">
      <c r="B93" s="390" t="s">
        <v>2546</v>
      </c>
      <c r="C93" s="390"/>
      <c r="D93" s="390"/>
      <c r="E93" s="390"/>
      <c r="F93" s="271"/>
      <c r="G93" s="271"/>
      <c r="H93" s="271"/>
      <c r="I93" s="271"/>
      <c r="J93" s="271"/>
      <c r="K93" s="271"/>
      <c r="L93" s="271"/>
      <c r="M93" s="271"/>
      <c r="N93" s="271"/>
    </row>
    <row r="94" spans="2:14" x14ac:dyDescent="0.25">
      <c r="B94" s="294" t="s">
        <v>2538</v>
      </c>
      <c r="C94" s="294"/>
      <c r="D94" s="271"/>
      <c r="E94" s="271"/>
      <c r="F94" s="271"/>
      <c r="G94" s="271"/>
      <c r="H94" s="271"/>
      <c r="I94" s="271"/>
      <c r="J94" s="271"/>
      <c r="K94" s="271"/>
      <c r="L94" s="271"/>
      <c r="M94" s="271"/>
      <c r="N94" s="271"/>
    </row>
    <row r="95" spans="2:14" x14ac:dyDescent="0.25">
      <c r="B95" s="294" t="s">
        <v>2539</v>
      </c>
      <c r="C95" s="294"/>
      <c r="F95" s="271"/>
      <c r="G95" s="271"/>
      <c r="H95" s="271"/>
      <c r="I95" s="271"/>
      <c r="J95" s="271"/>
      <c r="K95" s="271"/>
      <c r="L95" s="271"/>
      <c r="M95" s="271"/>
      <c r="N95" s="271"/>
    </row>
    <row r="97" spans="2:14" x14ac:dyDescent="0.25">
      <c r="B97" s="296"/>
      <c r="C97" s="302" t="s">
        <v>2496</v>
      </c>
      <c r="D97" s="271" t="s">
        <v>2526</v>
      </c>
      <c r="E97" s="271"/>
      <c r="F97" s="271"/>
      <c r="G97" s="271"/>
      <c r="H97" s="271"/>
      <c r="I97" s="271"/>
      <c r="J97" s="271"/>
      <c r="K97" s="271"/>
      <c r="L97" s="271"/>
      <c r="M97" s="271"/>
      <c r="N97" s="271"/>
    </row>
  </sheetData>
  <sheetProtection selectLockedCells="1"/>
  <mergeCells count="18">
    <mergeCell ref="B38:C38"/>
    <mergeCell ref="M2:N2"/>
    <mergeCell ref="G4:N4"/>
    <mergeCell ref="B19:C19"/>
    <mergeCell ref="B20:C20"/>
    <mergeCell ref="B37:C37"/>
    <mergeCell ref="B93:E93"/>
    <mergeCell ref="B39:I39"/>
    <mergeCell ref="B40:N40"/>
    <mergeCell ref="B52:C52"/>
    <mergeCell ref="B53:C53"/>
    <mergeCell ref="B56:N56"/>
    <mergeCell ref="G63:N63"/>
    <mergeCell ref="B75:C75"/>
    <mergeCell ref="B76:C76"/>
    <mergeCell ref="B90:C90"/>
    <mergeCell ref="B91:C91"/>
    <mergeCell ref="B92:N92"/>
  </mergeCells>
  <pageMargins left="0.75" right="0.75" top="0.4" bottom="0.44" header="0" footer="0"/>
  <pageSetup scale="96" orientation="portrait" r:id="rId1"/>
  <headerFooter alignWithMargins="0"/>
  <rowBreaks count="1" manualBreakCount="1">
    <brk id="59" min="1" max="13"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34FBD-DF22-48D6-BA99-C4008DF24CEC}">
  <sheetPr>
    <tabColor theme="7" tint="0.39997558519241921"/>
  </sheetPr>
  <dimension ref="B2:K117"/>
  <sheetViews>
    <sheetView topLeftCell="A31" zoomScaleNormal="100" workbookViewId="0">
      <selection activeCell="M58" sqref="M58"/>
    </sheetView>
  </sheetViews>
  <sheetFormatPr defaultColWidth="9.109375" defaultRowHeight="13.2" x14ac:dyDescent="0.25"/>
  <cols>
    <col min="1" max="1" width="1.5546875" style="266" customWidth="1"/>
    <col min="2" max="2" width="26.88671875" style="266" customWidth="1"/>
    <col min="3" max="3" width="8.109375" style="266" customWidth="1"/>
    <col min="4" max="4" width="15.109375" style="266" customWidth="1"/>
    <col min="5" max="5" width="3.5546875" style="266" customWidth="1"/>
    <col min="6" max="6" width="11" style="266" customWidth="1"/>
    <col min="7" max="7" width="3.5546875" style="266" customWidth="1"/>
    <col min="8" max="8" width="7.88671875" style="266" customWidth="1"/>
    <col min="9" max="9" width="5.109375" style="266" customWidth="1"/>
    <col min="10" max="10" width="9.33203125" style="266" customWidth="1"/>
    <col min="11" max="11" width="8" style="266" customWidth="1"/>
    <col min="12" max="16384" width="9.109375" style="266"/>
  </cols>
  <sheetData>
    <row r="2" spans="2:10" x14ac:dyDescent="0.25">
      <c r="I2" s="398" t="s">
        <v>2479</v>
      </c>
      <c r="J2" s="400"/>
    </row>
    <row r="4" spans="2:10" x14ac:dyDescent="0.25">
      <c r="D4" s="397" t="s">
        <v>2547</v>
      </c>
      <c r="E4" s="399"/>
      <c r="F4" s="399"/>
      <c r="G4" s="399"/>
      <c r="H4" s="399"/>
      <c r="I4" s="399"/>
      <c r="J4" s="399"/>
    </row>
    <row r="5" spans="2:10" ht="4.5" customHeight="1" x14ac:dyDescent="0.25">
      <c r="B5" s="269"/>
      <c r="C5" s="269"/>
      <c r="D5" s="269"/>
      <c r="E5" s="269"/>
      <c r="F5" s="269"/>
      <c r="G5" s="269"/>
      <c r="H5" s="269"/>
      <c r="I5" s="269"/>
      <c r="J5" s="269"/>
    </row>
    <row r="6" spans="2:10" x14ac:dyDescent="0.25">
      <c r="B6" s="303"/>
      <c r="C6" s="303"/>
      <c r="D6" s="303"/>
      <c r="E6" s="303"/>
      <c r="F6" s="303"/>
      <c r="G6" s="303"/>
      <c r="H6" s="303"/>
      <c r="I6" s="303"/>
      <c r="J6" s="303"/>
    </row>
    <row r="7" spans="2:10" x14ac:dyDescent="0.25">
      <c r="B7" s="270" t="s">
        <v>2548</v>
      </c>
      <c r="C7" s="304"/>
      <c r="D7" s="304"/>
      <c r="E7" s="304"/>
      <c r="F7" s="304"/>
      <c r="G7" s="304"/>
      <c r="H7" s="304"/>
      <c r="I7" s="304"/>
      <c r="J7" s="304"/>
    </row>
    <row r="8" spans="2:10" ht="8.25" customHeight="1" x14ac:dyDescent="0.25">
      <c r="B8" s="270"/>
      <c r="C8" s="304"/>
      <c r="D8" s="304"/>
      <c r="E8" s="304"/>
      <c r="F8" s="304"/>
      <c r="G8" s="304"/>
      <c r="H8" s="304"/>
      <c r="I8" s="304"/>
      <c r="J8" s="304"/>
    </row>
    <row r="9" spans="2:10" x14ac:dyDescent="0.25">
      <c r="B9" s="284" t="s">
        <v>2549</v>
      </c>
      <c r="C9" s="271"/>
      <c r="D9" s="271"/>
      <c r="E9" s="271"/>
      <c r="F9" s="271"/>
      <c r="G9" s="271"/>
      <c r="H9" s="271"/>
      <c r="I9" s="271"/>
      <c r="J9" s="271"/>
    </row>
    <row r="10" spans="2:10" x14ac:dyDescent="0.25">
      <c r="B10" s="271" t="s">
        <v>2550</v>
      </c>
      <c r="C10" s="271"/>
      <c r="D10" s="271"/>
      <c r="E10" s="271"/>
      <c r="F10" s="271"/>
      <c r="G10" s="271"/>
      <c r="H10" s="271"/>
      <c r="I10" s="271"/>
      <c r="J10" s="271"/>
    </row>
    <row r="11" spans="2:10" ht="15.6" x14ac:dyDescent="0.25">
      <c r="B11" s="271" t="s">
        <v>2551</v>
      </c>
      <c r="C11" s="271"/>
      <c r="D11" s="271"/>
      <c r="E11" s="271"/>
      <c r="F11" s="271"/>
      <c r="G11" s="271"/>
      <c r="H11" s="271"/>
      <c r="I11" s="271"/>
      <c r="J11" s="271"/>
    </row>
    <row r="12" spans="2:10" ht="8.25" customHeight="1" x14ac:dyDescent="0.25">
      <c r="B12" s="271"/>
      <c r="C12" s="271"/>
      <c r="D12" s="271"/>
      <c r="E12" s="271"/>
      <c r="F12" s="271"/>
      <c r="G12" s="271"/>
      <c r="H12" s="271"/>
      <c r="I12" s="271"/>
      <c r="J12" s="271"/>
    </row>
    <row r="13" spans="2:10" x14ac:dyDescent="0.25">
      <c r="B13" s="271" t="s">
        <v>2552</v>
      </c>
      <c r="C13" s="271"/>
      <c r="D13" s="271"/>
      <c r="E13" s="271"/>
      <c r="F13" s="271"/>
      <c r="G13" s="271"/>
      <c r="H13" s="271"/>
      <c r="I13" s="271"/>
      <c r="J13" s="271"/>
    </row>
    <row r="14" spans="2:10" x14ac:dyDescent="0.25">
      <c r="B14" s="271" t="s">
        <v>2553</v>
      </c>
      <c r="C14" s="271"/>
      <c r="D14" s="271"/>
      <c r="E14" s="271"/>
      <c r="F14" s="271"/>
      <c r="G14" s="271"/>
      <c r="H14" s="271"/>
      <c r="I14" s="271"/>
      <c r="J14" s="271"/>
    </row>
    <row r="15" spans="2:10" ht="7.5" customHeight="1" x14ac:dyDescent="0.25">
      <c r="B15" s="271"/>
      <c r="C15" s="271"/>
      <c r="D15" s="271"/>
      <c r="E15" s="271"/>
      <c r="F15" s="271"/>
      <c r="G15" s="271"/>
      <c r="H15" s="271"/>
      <c r="I15" s="271"/>
      <c r="J15" s="271"/>
    </row>
    <row r="16" spans="2:10" ht="19.5" customHeight="1" x14ac:dyDescent="0.25">
      <c r="B16" s="425" t="s">
        <v>2554</v>
      </c>
      <c r="C16" s="426"/>
      <c r="D16" s="403" t="s">
        <v>2555</v>
      </c>
      <c r="E16" s="424"/>
      <c r="F16" s="403" t="s">
        <v>2556</v>
      </c>
      <c r="G16" s="424"/>
      <c r="H16" s="403" t="s">
        <v>2557</v>
      </c>
      <c r="I16" s="403"/>
      <c r="J16" s="271"/>
    </row>
    <row r="17" spans="2:10" ht="12.75" customHeight="1" x14ac:dyDescent="0.25">
      <c r="B17" s="427"/>
      <c r="C17" s="428"/>
      <c r="D17" s="403"/>
      <c r="E17" s="424"/>
      <c r="F17" s="403"/>
      <c r="G17" s="424"/>
      <c r="H17" s="403"/>
      <c r="I17" s="403"/>
      <c r="J17" s="271"/>
    </row>
    <row r="18" spans="2:10" ht="12.75" customHeight="1" x14ac:dyDescent="0.25">
      <c r="B18" s="429"/>
      <c r="C18" s="430"/>
      <c r="D18" s="403"/>
      <c r="E18" s="424"/>
      <c r="F18" s="403"/>
      <c r="G18" s="424"/>
      <c r="H18" s="403"/>
      <c r="I18" s="403"/>
      <c r="J18" s="271"/>
    </row>
    <row r="19" spans="2:10" ht="8.25" customHeight="1" x14ac:dyDescent="0.25">
      <c r="B19" s="419"/>
      <c r="C19" s="420"/>
      <c r="D19" s="420"/>
      <c r="E19" s="420"/>
      <c r="F19" s="420"/>
      <c r="G19" s="420"/>
      <c r="H19" s="420"/>
      <c r="I19" s="421"/>
      <c r="J19" s="271"/>
    </row>
    <row r="20" spans="2:10" ht="15" customHeight="1" x14ac:dyDescent="0.25">
      <c r="B20" s="413" t="s">
        <v>929</v>
      </c>
      <c r="C20" s="413"/>
      <c r="D20" s="277"/>
      <c r="E20" s="274" t="s">
        <v>2558</v>
      </c>
      <c r="F20" s="305">
        <v>1</v>
      </c>
      <c r="G20" s="274" t="s">
        <v>2496</v>
      </c>
      <c r="H20" s="414">
        <f t="shared" ref="H20:H25" si="0">D20*F20</f>
        <v>0</v>
      </c>
      <c r="I20" s="414"/>
      <c r="J20" s="271"/>
    </row>
    <row r="21" spans="2:10" ht="15" customHeight="1" x14ac:dyDescent="0.25">
      <c r="B21" s="413" t="s">
        <v>2144</v>
      </c>
      <c r="C21" s="413"/>
      <c r="D21" s="277"/>
      <c r="E21" s="274" t="s">
        <v>2558</v>
      </c>
      <c r="F21" s="306">
        <v>0.75</v>
      </c>
      <c r="G21" s="274" t="s">
        <v>2496</v>
      </c>
      <c r="H21" s="414">
        <f t="shared" si="0"/>
        <v>0</v>
      </c>
      <c r="I21" s="414"/>
      <c r="J21" s="271"/>
    </row>
    <row r="22" spans="2:10" ht="15" customHeight="1" x14ac:dyDescent="0.25">
      <c r="B22" s="413" t="s">
        <v>2559</v>
      </c>
      <c r="C22" s="413"/>
      <c r="D22" s="277"/>
      <c r="E22" s="274" t="s">
        <v>2558</v>
      </c>
      <c r="F22" s="306">
        <v>0.68</v>
      </c>
      <c r="G22" s="274" t="s">
        <v>2496</v>
      </c>
      <c r="H22" s="414">
        <f t="shared" si="0"/>
        <v>0</v>
      </c>
      <c r="I22" s="414"/>
      <c r="J22" s="271"/>
    </row>
    <row r="23" spans="2:10" ht="15" customHeight="1" x14ac:dyDescent="0.25">
      <c r="B23" s="413" t="s">
        <v>2560</v>
      </c>
      <c r="C23" s="413"/>
      <c r="D23" s="277"/>
      <c r="E23" s="274" t="s">
        <v>2558</v>
      </c>
      <c r="F23" s="306">
        <v>0.95</v>
      </c>
      <c r="G23" s="274" t="s">
        <v>2496</v>
      </c>
      <c r="H23" s="414">
        <f t="shared" si="0"/>
        <v>0</v>
      </c>
      <c r="I23" s="414"/>
      <c r="J23" s="271"/>
    </row>
    <row r="24" spans="2:10" ht="15" customHeight="1" x14ac:dyDescent="0.25">
      <c r="B24" s="413" t="s">
        <v>2561</v>
      </c>
      <c r="C24" s="413"/>
      <c r="D24" s="277"/>
      <c r="E24" s="274" t="s">
        <v>2558</v>
      </c>
      <c r="F24" s="306">
        <v>1.37</v>
      </c>
      <c r="G24" s="274" t="s">
        <v>2496</v>
      </c>
      <c r="H24" s="414">
        <f t="shared" si="0"/>
        <v>0</v>
      </c>
      <c r="I24" s="414"/>
      <c r="J24" s="271"/>
    </row>
    <row r="25" spans="2:10" x14ac:dyDescent="0.25">
      <c r="B25" s="413" t="s">
        <v>2562</v>
      </c>
      <c r="C25" s="413"/>
      <c r="D25" s="277"/>
      <c r="E25" s="274" t="s">
        <v>2558</v>
      </c>
      <c r="F25" s="306">
        <v>0.22</v>
      </c>
      <c r="G25" s="274" t="s">
        <v>2496</v>
      </c>
      <c r="H25" s="414">
        <f t="shared" si="0"/>
        <v>0</v>
      </c>
      <c r="I25" s="414"/>
      <c r="J25" s="271"/>
    </row>
    <row r="26" spans="2:10" ht="8.25" customHeight="1" x14ac:dyDescent="0.25">
      <c r="B26" s="419"/>
      <c r="C26" s="420"/>
      <c r="D26" s="420"/>
      <c r="E26" s="420"/>
      <c r="F26" s="420"/>
      <c r="G26" s="420"/>
      <c r="H26" s="420"/>
      <c r="I26" s="421"/>
      <c r="J26" s="271"/>
    </row>
    <row r="27" spans="2:10" ht="15" customHeight="1" x14ac:dyDescent="0.25">
      <c r="B27" s="413" t="s">
        <v>857</v>
      </c>
      <c r="C27" s="413"/>
      <c r="D27" s="277"/>
      <c r="E27" s="274" t="s">
        <v>2558</v>
      </c>
      <c r="F27" s="306">
        <v>0.72</v>
      </c>
      <c r="G27" s="274" t="s">
        <v>2496</v>
      </c>
      <c r="H27" s="414">
        <f>D27*F27</f>
        <v>0</v>
      </c>
      <c r="I27" s="414"/>
      <c r="J27" s="271"/>
    </row>
    <row r="28" spans="2:10" ht="15" customHeight="1" x14ac:dyDescent="0.25">
      <c r="B28" s="413" t="s">
        <v>861</v>
      </c>
      <c r="C28" s="413"/>
      <c r="D28" s="277"/>
      <c r="E28" s="274" t="s">
        <v>2558</v>
      </c>
      <c r="F28" s="306">
        <v>0.34</v>
      </c>
      <c r="G28" s="274" t="s">
        <v>2496</v>
      </c>
      <c r="H28" s="414">
        <f>D28*F28</f>
        <v>0</v>
      </c>
      <c r="I28" s="414"/>
      <c r="J28" s="271"/>
    </row>
    <row r="29" spans="2:10" ht="15" customHeight="1" x14ac:dyDescent="0.25">
      <c r="B29" s="413" t="s">
        <v>1208</v>
      </c>
      <c r="C29" s="413"/>
      <c r="D29" s="277"/>
      <c r="E29" s="274" t="s">
        <v>2558</v>
      </c>
      <c r="F29" s="306">
        <v>0.41</v>
      </c>
      <c r="G29" s="274" t="s">
        <v>2496</v>
      </c>
      <c r="H29" s="414">
        <f>D29*F29</f>
        <v>0</v>
      </c>
      <c r="I29" s="414"/>
      <c r="J29" s="271"/>
    </row>
    <row r="30" spans="2:10" ht="8.25" customHeight="1" x14ac:dyDescent="0.25">
      <c r="B30" s="419"/>
      <c r="C30" s="420"/>
      <c r="D30" s="420"/>
      <c r="E30" s="420"/>
      <c r="F30" s="420"/>
      <c r="G30" s="420"/>
      <c r="H30" s="420"/>
      <c r="I30" s="421"/>
      <c r="J30" s="271"/>
    </row>
    <row r="31" spans="2:10" ht="15" customHeight="1" x14ac:dyDescent="0.25">
      <c r="B31" s="413" t="s">
        <v>2563</v>
      </c>
      <c r="C31" s="413"/>
      <c r="D31" s="277"/>
      <c r="E31" s="274" t="s">
        <v>2558</v>
      </c>
      <c r="F31" s="306">
        <v>0.59</v>
      </c>
      <c r="G31" s="274" t="s">
        <v>2496</v>
      </c>
      <c r="H31" s="414">
        <f>D31*F31</f>
        <v>0</v>
      </c>
      <c r="I31" s="414"/>
      <c r="J31" s="271"/>
    </row>
    <row r="32" spans="2:10" ht="15" customHeight="1" x14ac:dyDescent="0.25">
      <c r="B32" s="413" t="s">
        <v>2564</v>
      </c>
      <c r="C32" s="413"/>
      <c r="D32" s="277"/>
      <c r="E32" s="274" t="s">
        <v>2558</v>
      </c>
      <c r="F32" s="306">
        <v>1.08</v>
      </c>
      <c r="G32" s="274" t="s">
        <v>2496</v>
      </c>
      <c r="H32" s="414">
        <f>D32*F32</f>
        <v>0</v>
      </c>
      <c r="I32" s="414"/>
      <c r="J32" s="271"/>
    </row>
    <row r="33" spans="2:10" ht="15" customHeight="1" x14ac:dyDescent="0.25">
      <c r="B33" s="419" t="s">
        <v>2565</v>
      </c>
      <c r="C33" s="420"/>
      <c r="D33" s="420"/>
      <c r="E33" s="420"/>
      <c r="F33" s="420"/>
      <c r="G33" s="420"/>
      <c r="H33" s="420"/>
      <c r="I33" s="421"/>
      <c r="J33" s="271"/>
    </row>
    <row r="34" spans="2:10" ht="8.25" customHeight="1" x14ac:dyDescent="0.25">
      <c r="B34" s="419"/>
      <c r="C34" s="420"/>
      <c r="D34" s="420"/>
      <c r="E34" s="420"/>
      <c r="F34" s="420"/>
      <c r="G34" s="420"/>
      <c r="H34" s="420"/>
      <c r="I34" s="421"/>
      <c r="J34" s="271"/>
    </row>
    <row r="35" spans="2:10" x14ac:dyDescent="0.25">
      <c r="B35" s="413" t="s">
        <v>2566</v>
      </c>
      <c r="C35" s="413"/>
      <c r="D35" s="277"/>
      <c r="E35" s="274" t="s">
        <v>2558</v>
      </c>
      <c r="F35" s="306">
        <v>0.54</v>
      </c>
      <c r="G35" s="274" t="s">
        <v>2496</v>
      </c>
      <c r="H35" s="414">
        <f t="shared" ref="H35:H40" si="1">D35*F35</f>
        <v>0</v>
      </c>
      <c r="I35" s="414"/>
      <c r="J35" s="271"/>
    </row>
    <row r="36" spans="2:10" x14ac:dyDescent="0.25">
      <c r="B36" s="413" t="s">
        <v>2567</v>
      </c>
      <c r="C36" s="413"/>
      <c r="D36" s="277"/>
      <c r="E36" s="274" t="s">
        <v>2558</v>
      </c>
      <c r="F36" s="306">
        <v>0.46</v>
      </c>
      <c r="G36" s="274" t="s">
        <v>2496</v>
      </c>
      <c r="H36" s="414">
        <f t="shared" si="1"/>
        <v>0</v>
      </c>
      <c r="I36" s="414"/>
      <c r="J36" s="271"/>
    </row>
    <row r="37" spans="2:10" x14ac:dyDescent="0.25">
      <c r="B37" s="413" t="s">
        <v>2568</v>
      </c>
      <c r="C37" s="413"/>
      <c r="D37" s="277"/>
      <c r="E37" s="274" t="s">
        <v>2558</v>
      </c>
      <c r="F37" s="306">
        <v>0.71</v>
      </c>
      <c r="G37" s="274" t="s">
        <v>2496</v>
      </c>
      <c r="H37" s="414">
        <f t="shared" si="1"/>
        <v>0</v>
      </c>
      <c r="I37" s="414"/>
      <c r="J37" s="271"/>
    </row>
    <row r="38" spans="2:10" x14ac:dyDescent="0.25">
      <c r="B38" s="413" t="s">
        <v>2569</v>
      </c>
      <c r="C38" s="413"/>
      <c r="D38" s="277"/>
      <c r="E38" s="274" t="s">
        <v>2558</v>
      </c>
      <c r="F38" s="306">
        <v>0.47</v>
      </c>
      <c r="G38" s="274" t="s">
        <v>2496</v>
      </c>
      <c r="H38" s="414">
        <f t="shared" si="1"/>
        <v>0</v>
      </c>
      <c r="I38" s="414"/>
      <c r="J38" s="271"/>
    </row>
    <row r="39" spans="2:10" x14ac:dyDescent="0.25">
      <c r="B39" s="422" t="s">
        <v>2570</v>
      </c>
      <c r="C39" s="422"/>
      <c r="D39" s="277"/>
      <c r="E39" s="274" t="s">
        <v>2558</v>
      </c>
      <c r="F39" s="306">
        <v>0.32</v>
      </c>
      <c r="G39" s="274" t="s">
        <v>2496</v>
      </c>
      <c r="H39" s="414">
        <f t="shared" si="1"/>
        <v>0</v>
      </c>
      <c r="I39" s="414"/>
      <c r="J39" s="271"/>
    </row>
    <row r="40" spans="2:10" x14ac:dyDescent="0.25">
      <c r="B40" s="413" t="s">
        <v>2571</v>
      </c>
      <c r="C40" s="413"/>
      <c r="D40" s="277"/>
      <c r="E40" s="274" t="s">
        <v>2558</v>
      </c>
      <c r="F40" s="305">
        <v>0.4</v>
      </c>
      <c r="G40" s="274" t="s">
        <v>2496</v>
      </c>
      <c r="H40" s="414">
        <f t="shared" si="1"/>
        <v>0</v>
      </c>
      <c r="I40" s="414"/>
      <c r="J40" s="271"/>
    </row>
    <row r="41" spans="2:10" ht="8.25" customHeight="1" x14ac:dyDescent="0.25">
      <c r="B41" s="419"/>
      <c r="C41" s="420"/>
      <c r="D41" s="420"/>
      <c r="E41" s="420"/>
      <c r="F41" s="420"/>
      <c r="G41" s="420"/>
      <c r="H41" s="420"/>
      <c r="I41" s="421"/>
      <c r="J41" s="271"/>
    </row>
    <row r="42" spans="2:10" x14ac:dyDescent="0.25">
      <c r="B42" s="413" t="s">
        <v>2572</v>
      </c>
      <c r="C42" s="413"/>
      <c r="D42" s="277"/>
      <c r="E42" s="274" t="s">
        <v>2558</v>
      </c>
      <c r="F42" s="306">
        <v>0.63</v>
      </c>
      <c r="G42" s="274" t="s">
        <v>2496</v>
      </c>
      <c r="H42" s="414">
        <f>D42*F42</f>
        <v>0</v>
      </c>
      <c r="I42" s="414"/>
      <c r="J42" s="271"/>
    </row>
    <row r="43" spans="2:10" x14ac:dyDescent="0.25">
      <c r="B43" s="413" t="s">
        <v>2573</v>
      </c>
      <c r="C43" s="413"/>
      <c r="D43" s="277"/>
      <c r="E43" s="274" t="s">
        <v>2558</v>
      </c>
      <c r="F43" s="306">
        <v>0.56999999999999995</v>
      </c>
      <c r="G43" s="274" t="s">
        <v>2496</v>
      </c>
      <c r="H43" s="414">
        <f>D43*F43</f>
        <v>0</v>
      </c>
      <c r="I43" s="414"/>
      <c r="J43" s="271"/>
    </row>
    <row r="44" spans="2:10" x14ac:dyDescent="0.25">
      <c r="B44" s="413" t="s">
        <v>2574</v>
      </c>
      <c r="C44" s="413"/>
      <c r="D44" s="277"/>
      <c r="E44" s="274" t="s">
        <v>2558</v>
      </c>
      <c r="F44" s="306">
        <v>0.61</v>
      </c>
      <c r="G44" s="274" t="s">
        <v>2496</v>
      </c>
      <c r="H44" s="414">
        <f>D44*F44</f>
        <v>0</v>
      </c>
      <c r="I44" s="414"/>
      <c r="J44" s="271"/>
    </row>
    <row r="45" spans="2:10" ht="8.25" customHeight="1" x14ac:dyDescent="0.25">
      <c r="B45" s="415"/>
      <c r="C45" s="416"/>
      <c r="H45" s="416"/>
      <c r="I45" s="417"/>
    </row>
    <row r="46" spans="2:10" x14ac:dyDescent="0.25">
      <c r="B46" s="413" t="s">
        <v>2575</v>
      </c>
      <c r="C46" s="413"/>
      <c r="D46" s="280"/>
      <c r="E46" s="274" t="s">
        <v>2558</v>
      </c>
      <c r="F46" s="306">
        <v>0.68</v>
      </c>
      <c r="G46" s="274" t="s">
        <v>2496</v>
      </c>
      <c r="H46" s="418">
        <f>D46*F46</f>
        <v>0</v>
      </c>
      <c r="I46" s="418"/>
    </row>
    <row r="47" spans="2:10" ht="8.25" customHeight="1" x14ac:dyDescent="0.25">
      <c r="B47" s="308"/>
      <c r="C47" s="308"/>
      <c r="D47" s="308"/>
      <c r="E47" s="309"/>
      <c r="F47" s="310"/>
      <c r="G47" s="309"/>
      <c r="H47" s="407"/>
      <c r="I47" s="407"/>
      <c r="J47" s="271"/>
    </row>
    <row r="48" spans="2:10" ht="16.5" customHeight="1" x14ac:dyDescent="0.25">
      <c r="B48" s="311"/>
      <c r="C48" s="271"/>
      <c r="D48" s="408" t="s">
        <v>2576</v>
      </c>
      <c r="E48" s="408"/>
      <c r="F48" s="408"/>
      <c r="G48" s="274" t="s">
        <v>2496</v>
      </c>
      <c r="H48" s="414">
        <f>SUM(H20:I25,H27:I29,H31:I32,H35:I40,H42:I44,H46)</f>
        <v>0</v>
      </c>
      <c r="I48" s="414"/>
      <c r="J48" s="271"/>
    </row>
    <row r="49" spans="2:11" ht="17.25" customHeight="1" x14ac:dyDescent="0.25">
      <c r="B49" s="311"/>
      <c r="C49" s="271"/>
      <c r="D49" s="405" t="s">
        <v>2577</v>
      </c>
      <c r="E49" s="405"/>
      <c r="F49" s="405"/>
      <c r="G49" s="278" t="s">
        <v>2495</v>
      </c>
      <c r="H49" s="395"/>
      <c r="I49" s="395"/>
      <c r="J49" s="271"/>
    </row>
    <row r="50" spans="2:11" ht="17.25" customHeight="1" x14ac:dyDescent="0.25">
      <c r="B50" s="311"/>
      <c r="C50" s="271"/>
      <c r="D50" s="405" t="s">
        <v>2578</v>
      </c>
      <c r="E50" s="405"/>
      <c r="F50" s="405"/>
      <c r="G50" s="281" t="s">
        <v>2496</v>
      </c>
      <c r="H50" s="423" t="e">
        <f>H48/H49</f>
        <v>#DIV/0!</v>
      </c>
      <c r="I50" s="423"/>
      <c r="J50" s="271"/>
    </row>
    <row r="51" spans="2:11" ht="8.25" customHeight="1" x14ac:dyDescent="0.25">
      <c r="B51" s="312"/>
      <c r="C51" s="312"/>
      <c r="D51" s="312"/>
      <c r="E51" s="312"/>
      <c r="F51" s="312"/>
      <c r="G51" s="312"/>
      <c r="H51" s="312"/>
      <c r="I51" s="312"/>
      <c r="J51" s="271"/>
    </row>
    <row r="52" spans="2:11" x14ac:dyDescent="0.25">
      <c r="B52" s="282" t="s">
        <v>2579</v>
      </c>
      <c r="E52" s="282"/>
      <c r="F52" s="282"/>
      <c r="G52" s="282"/>
      <c r="H52" s="282"/>
      <c r="I52" s="282"/>
      <c r="J52" s="313"/>
      <c r="K52" s="314"/>
    </row>
    <row r="53" spans="2:11" x14ac:dyDescent="0.25">
      <c r="B53" s="282" t="s">
        <v>2580</v>
      </c>
      <c r="C53" s="315"/>
      <c r="D53" s="316"/>
      <c r="E53" s="282"/>
      <c r="F53" s="282"/>
      <c r="G53" s="282"/>
      <c r="H53" s="282"/>
      <c r="I53" s="282"/>
      <c r="J53" s="313"/>
      <c r="K53" s="314"/>
    </row>
    <row r="54" spans="2:11" x14ac:dyDescent="0.25">
      <c r="B54" s="282" t="s">
        <v>2581</v>
      </c>
      <c r="C54" s="295"/>
      <c r="D54" s="282"/>
      <c r="E54" s="282"/>
      <c r="F54" s="282"/>
      <c r="G54" s="282"/>
      <c r="H54" s="282"/>
      <c r="I54" s="282"/>
      <c r="J54" s="313"/>
      <c r="K54" s="314"/>
    </row>
    <row r="55" spans="2:11" x14ac:dyDescent="0.25">
      <c r="B55" s="282" t="s">
        <v>2582</v>
      </c>
      <c r="C55" s="295"/>
      <c r="D55" s="282"/>
      <c r="E55" s="282"/>
      <c r="F55" s="282"/>
      <c r="G55" s="282"/>
      <c r="H55" s="282"/>
      <c r="I55" s="282"/>
      <c r="J55" s="313"/>
      <c r="K55" s="314"/>
    </row>
    <row r="56" spans="2:11" x14ac:dyDescent="0.25">
      <c r="B56" s="282" t="s">
        <v>2583</v>
      </c>
      <c r="C56" s="295"/>
      <c r="D56" s="282"/>
      <c r="E56" s="282"/>
      <c r="F56" s="282"/>
      <c r="G56" s="282"/>
      <c r="H56" s="282"/>
      <c r="I56" s="282"/>
      <c r="J56" s="313"/>
      <c r="K56" s="314"/>
    </row>
    <row r="57" spans="2:11" x14ac:dyDescent="0.25">
      <c r="C57" s="295"/>
      <c r="D57" s="282"/>
      <c r="E57" s="282"/>
      <c r="F57" s="282"/>
      <c r="G57" s="282"/>
      <c r="H57" s="282"/>
      <c r="I57" s="282"/>
      <c r="J57" s="313"/>
      <c r="K57" s="314"/>
    </row>
    <row r="58" spans="2:11" x14ac:dyDescent="0.25">
      <c r="B58" s="317"/>
      <c r="C58" s="315" t="s">
        <v>2496</v>
      </c>
      <c r="D58" s="316" t="s">
        <v>2526</v>
      </c>
      <c r="E58" s="313"/>
      <c r="F58" s="313"/>
      <c r="G58" s="313"/>
      <c r="H58" s="313"/>
      <c r="I58" s="313"/>
      <c r="J58" s="313"/>
    </row>
    <row r="59" spans="2:11" ht="14.4" x14ac:dyDescent="0.25">
      <c r="C59" s="318"/>
    </row>
    <row r="60" spans="2:11" ht="14.4" x14ac:dyDescent="0.25">
      <c r="C60" s="318"/>
    </row>
    <row r="61" spans="2:11" ht="13.5" customHeight="1" x14ac:dyDescent="0.25">
      <c r="C61" s="318"/>
    </row>
    <row r="62" spans="2:11" ht="12" customHeight="1" x14ac:dyDescent="0.25">
      <c r="C62" s="318"/>
      <c r="D62" s="397" t="s">
        <v>2584</v>
      </c>
      <c r="E62" s="399"/>
      <c r="F62" s="399"/>
      <c r="G62" s="399"/>
      <c r="H62" s="399"/>
      <c r="I62" s="399"/>
      <c r="J62" s="399"/>
    </row>
    <row r="63" spans="2:11" ht="2.25" customHeight="1" x14ac:dyDescent="0.25">
      <c r="B63" s="269"/>
      <c r="C63" s="269"/>
      <c r="D63" s="269"/>
      <c r="E63" s="269"/>
      <c r="F63" s="269"/>
      <c r="G63" s="269"/>
      <c r="H63" s="269"/>
      <c r="I63" s="269"/>
      <c r="J63" s="269"/>
    </row>
    <row r="64" spans="2:11" ht="14.4" x14ac:dyDescent="0.25">
      <c r="C64" s="318"/>
      <c r="F64" s="268"/>
      <c r="G64" s="268"/>
      <c r="H64" s="268"/>
      <c r="I64" s="268"/>
      <c r="J64" s="268"/>
    </row>
    <row r="65" spans="2:11" x14ac:dyDescent="0.25">
      <c r="B65" s="284" t="s">
        <v>2585</v>
      </c>
      <c r="C65" s="271"/>
      <c r="D65" s="271"/>
      <c r="E65" s="271"/>
      <c r="F65" s="271"/>
      <c r="G65" s="271"/>
      <c r="H65" s="271"/>
      <c r="I65" s="271"/>
      <c r="J65" s="271"/>
      <c r="K65" s="271"/>
    </row>
    <row r="66" spans="2:11" x14ac:dyDescent="0.25">
      <c r="B66" s="271" t="s">
        <v>2586</v>
      </c>
      <c r="C66" s="271"/>
      <c r="D66" s="271"/>
      <c r="E66" s="271"/>
      <c r="F66" s="271"/>
      <c r="G66" s="271"/>
      <c r="H66" s="271"/>
      <c r="I66" s="271"/>
      <c r="J66" s="271"/>
      <c r="K66" s="271"/>
    </row>
    <row r="67" spans="2:11" x14ac:dyDescent="0.25">
      <c r="B67" s="271" t="s">
        <v>2587</v>
      </c>
      <c r="C67" s="271"/>
      <c r="D67" s="271"/>
      <c r="E67" s="271"/>
      <c r="F67" s="271"/>
      <c r="G67" s="271"/>
      <c r="H67" s="271"/>
      <c r="I67" s="271"/>
      <c r="J67" s="271"/>
      <c r="K67" s="271"/>
    </row>
    <row r="68" spans="2:11" x14ac:dyDescent="0.25">
      <c r="B68" s="271" t="s">
        <v>2588</v>
      </c>
      <c r="C68" s="271"/>
      <c r="D68" s="271"/>
      <c r="E68" s="271"/>
      <c r="F68" s="271"/>
      <c r="G68" s="271"/>
      <c r="H68" s="271"/>
      <c r="I68" s="271"/>
      <c r="J68" s="271"/>
      <c r="K68" s="271"/>
    </row>
    <row r="69" spans="2:11" ht="10.5" customHeight="1" x14ac:dyDescent="0.25">
      <c r="B69" s="271" t="s">
        <v>2508</v>
      </c>
      <c r="C69" s="271"/>
      <c r="D69" s="271"/>
      <c r="E69" s="271"/>
      <c r="F69" s="271"/>
      <c r="G69" s="271"/>
      <c r="H69" s="271"/>
      <c r="I69" s="271"/>
      <c r="J69" s="271"/>
      <c r="K69" s="271"/>
    </row>
    <row r="70" spans="2:11" ht="10.5" customHeight="1" x14ac:dyDescent="0.25">
      <c r="B70" s="271"/>
      <c r="C70" s="271"/>
      <c r="D70" s="271"/>
      <c r="E70" s="271"/>
      <c r="F70" s="271"/>
      <c r="G70" s="271"/>
      <c r="H70" s="271"/>
      <c r="I70" s="271"/>
      <c r="J70" s="271"/>
      <c r="K70" s="271"/>
    </row>
    <row r="71" spans="2:11" x14ac:dyDescent="0.25">
      <c r="B71" s="271" t="s">
        <v>2552</v>
      </c>
      <c r="C71" s="271"/>
      <c r="D71" s="271"/>
      <c r="E71" s="271"/>
      <c r="F71" s="271"/>
      <c r="G71" s="271"/>
      <c r="H71" s="271"/>
      <c r="I71" s="271"/>
      <c r="J71" s="271"/>
      <c r="K71" s="271"/>
    </row>
    <row r="72" spans="2:11" x14ac:dyDescent="0.25">
      <c r="B72" s="271" t="s">
        <v>2589</v>
      </c>
      <c r="C72" s="271"/>
      <c r="D72" s="271"/>
      <c r="E72" s="271"/>
      <c r="F72" s="271"/>
      <c r="G72" s="271"/>
      <c r="H72" s="271"/>
      <c r="I72" s="271"/>
      <c r="J72" s="271"/>
      <c r="K72" s="271"/>
    </row>
    <row r="73" spans="2:11" ht="14.4" x14ac:dyDescent="0.35">
      <c r="B73" s="283"/>
      <c r="C73" s="271"/>
      <c r="D73" s="271"/>
      <c r="E73" s="271"/>
      <c r="F73" s="271"/>
      <c r="G73" s="271"/>
      <c r="H73" s="271"/>
      <c r="I73" s="271"/>
      <c r="J73" s="271"/>
      <c r="K73" s="271"/>
    </row>
    <row r="75" spans="2:11" ht="30" customHeight="1" x14ac:dyDescent="0.25">
      <c r="B75" s="403" t="s">
        <v>2554</v>
      </c>
      <c r="C75" s="403"/>
      <c r="D75" s="403" t="s">
        <v>2590</v>
      </c>
      <c r="E75" s="424"/>
      <c r="F75" s="403" t="s">
        <v>2556</v>
      </c>
      <c r="G75" s="424"/>
      <c r="H75" s="403" t="s">
        <v>2557</v>
      </c>
      <c r="I75" s="403"/>
    </row>
    <row r="76" spans="2:11" ht="12.75" customHeight="1" x14ac:dyDescent="0.25">
      <c r="B76" s="403"/>
      <c r="C76" s="403"/>
      <c r="D76" s="403"/>
      <c r="E76" s="424"/>
      <c r="F76" s="403"/>
      <c r="G76" s="424"/>
      <c r="H76" s="403"/>
      <c r="I76" s="403"/>
    </row>
    <row r="77" spans="2:11" ht="3.75" customHeight="1" x14ac:dyDescent="0.25">
      <c r="B77" s="403"/>
      <c r="C77" s="403"/>
      <c r="D77" s="403"/>
      <c r="E77" s="424"/>
      <c r="F77" s="403"/>
      <c r="G77" s="424"/>
      <c r="H77" s="403"/>
      <c r="I77" s="403"/>
    </row>
    <row r="78" spans="2:11" ht="8.25" customHeight="1" x14ac:dyDescent="0.25">
      <c r="B78" s="419"/>
      <c r="C78" s="420"/>
      <c r="D78" s="420"/>
      <c r="E78" s="420"/>
      <c r="F78" s="420"/>
      <c r="G78" s="420"/>
      <c r="H78" s="420"/>
      <c r="I78" s="421"/>
    </row>
    <row r="79" spans="2:11" ht="15" customHeight="1" x14ac:dyDescent="0.25">
      <c r="B79" s="413" t="s">
        <v>929</v>
      </c>
      <c r="C79" s="413"/>
      <c r="D79" s="277"/>
      <c r="E79" s="274" t="s">
        <v>2558</v>
      </c>
      <c r="F79" s="305">
        <v>1</v>
      </c>
      <c r="G79" s="274" t="s">
        <v>2496</v>
      </c>
      <c r="H79" s="414">
        <f t="shared" ref="H79:H84" si="2">F79*D79</f>
        <v>0</v>
      </c>
      <c r="I79" s="414"/>
    </row>
    <row r="80" spans="2:11" ht="15" customHeight="1" x14ac:dyDescent="0.25">
      <c r="B80" s="413" t="s">
        <v>2144</v>
      </c>
      <c r="C80" s="413"/>
      <c r="D80" s="277"/>
      <c r="E80" s="274" t="s">
        <v>2558</v>
      </c>
      <c r="F80" s="306">
        <v>0.75</v>
      </c>
      <c r="G80" s="274" t="s">
        <v>2496</v>
      </c>
      <c r="H80" s="414">
        <f t="shared" si="2"/>
        <v>0</v>
      </c>
      <c r="I80" s="414"/>
    </row>
    <row r="81" spans="2:9" ht="15" customHeight="1" x14ac:dyDescent="0.25">
      <c r="B81" s="413" t="s">
        <v>2559</v>
      </c>
      <c r="C81" s="413"/>
      <c r="D81" s="277"/>
      <c r="E81" s="274" t="s">
        <v>2558</v>
      </c>
      <c r="F81" s="306">
        <v>0.68</v>
      </c>
      <c r="G81" s="274" t="s">
        <v>2496</v>
      </c>
      <c r="H81" s="414">
        <f t="shared" si="2"/>
        <v>0</v>
      </c>
      <c r="I81" s="414"/>
    </row>
    <row r="82" spans="2:9" ht="15" customHeight="1" x14ac:dyDescent="0.25">
      <c r="B82" s="413" t="s">
        <v>2560</v>
      </c>
      <c r="C82" s="413"/>
      <c r="D82" s="277"/>
      <c r="E82" s="274" t="s">
        <v>2558</v>
      </c>
      <c r="F82" s="306">
        <v>0.95</v>
      </c>
      <c r="G82" s="274" t="s">
        <v>2496</v>
      </c>
      <c r="H82" s="414">
        <f t="shared" si="2"/>
        <v>0</v>
      </c>
      <c r="I82" s="414"/>
    </row>
    <row r="83" spans="2:9" ht="15" customHeight="1" x14ac:dyDescent="0.25">
      <c r="B83" s="413" t="s">
        <v>2561</v>
      </c>
      <c r="C83" s="413"/>
      <c r="D83" s="277"/>
      <c r="E83" s="274" t="s">
        <v>2558</v>
      </c>
      <c r="F83" s="306">
        <v>1.37</v>
      </c>
      <c r="G83" s="274" t="s">
        <v>2496</v>
      </c>
      <c r="H83" s="414">
        <f t="shared" si="2"/>
        <v>0</v>
      </c>
      <c r="I83" s="414"/>
    </row>
    <row r="84" spans="2:9" x14ac:dyDescent="0.25">
      <c r="B84" s="413" t="s">
        <v>2562</v>
      </c>
      <c r="C84" s="413"/>
      <c r="D84" s="277"/>
      <c r="E84" s="274" t="s">
        <v>2558</v>
      </c>
      <c r="F84" s="306">
        <v>0.22</v>
      </c>
      <c r="G84" s="274" t="s">
        <v>2496</v>
      </c>
      <c r="H84" s="414">
        <f t="shared" si="2"/>
        <v>0</v>
      </c>
      <c r="I84" s="414"/>
    </row>
    <row r="85" spans="2:9" ht="8.25" customHeight="1" x14ac:dyDescent="0.25">
      <c r="B85" s="419"/>
      <c r="C85" s="420"/>
      <c r="D85" s="420"/>
      <c r="E85" s="420"/>
      <c r="F85" s="420"/>
      <c r="G85" s="420"/>
      <c r="H85" s="420"/>
      <c r="I85" s="421"/>
    </row>
    <row r="86" spans="2:9" ht="15" customHeight="1" x14ac:dyDescent="0.25">
      <c r="B86" s="413" t="s">
        <v>857</v>
      </c>
      <c r="C86" s="413"/>
      <c r="D86" s="277"/>
      <c r="E86" s="274" t="s">
        <v>2558</v>
      </c>
      <c r="F86" s="306">
        <v>0.72</v>
      </c>
      <c r="G86" s="274" t="s">
        <v>2496</v>
      </c>
      <c r="H86" s="414">
        <f>F86*D86</f>
        <v>0</v>
      </c>
      <c r="I86" s="414"/>
    </row>
    <row r="87" spans="2:9" ht="15" customHeight="1" x14ac:dyDescent="0.25">
      <c r="B87" s="413" t="s">
        <v>861</v>
      </c>
      <c r="C87" s="413"/>
      <c r="D87" s="277"/>
      <c r="E87" s="274" t="s">
        <v>2558</v>
      </c>
      <c r="F87" s="306">
        <v>0.34</v>
      </c>
      <c r="G87" s="274" t="s">
        <v>2496</v>
      </c>
      <c r="H87" s="414">
        <f>F87*D87</f>
        <v>0</v>
      </c>
      <c r="I87" s="414"/>
    </row>
    <row r="88" spans="2:9" ht="15" customHeight="1" x14ac:dyDescent="0.25">
      <c r="B88" s="413" t="s">
        <v>1208</v>
      </c>
      <c r="C88" s="413"/>
      <c r="D88" s="277"/>
      <c r="E88" s="274" t="s">
        <v>2558</v>
      </c>
      <c r="F88" s="306">
        <v>0.41</v>
      </c>
      <c r="G88" s="274" t="s">
        <v>2496</v>
      </c>
      <c r="H88" s="414">
        <f>F88*D88</f>
        <v>0</v>
      </c>
      <c r="I88" s="414"/>
    </row>
    <row r="89" spans="2:9" ht="8.25" customHeight="1" x14ac:dyDescent="0.25">
      <c r="B89" s="419"/>
      <c r="C89" s="420"/>
      <c r="D89" s="420"/>
      <c r="E89" s="420"/>
      <c r="F89" s="420"/>
      <c r="G89" s="420"/>
      <c r="H89" s="420"/>
      <c r="I89" s="421"/>
    </row>
    <row r="90" spans="2:9" ht="15" customHeight="1" x14ac:dyDescent="0.25">
      <c r="B90" s="413" t="s">
        <v>2563</v>
      </c>
      <c r="C90" s="413"/>
      <c r="D90" s="277"/>
      <c r="E90" s="274" t="s">
        <v>2558</v>
      </c>
      <c r="F90" s="306">
        <v>0.59</v>
      </c>
      <c r="G90" s="274" t="s">
        <v>2496</v>
      </c>
      <c r="H90" s="414">
        <f>F90*D90</f>
        <v>0</v>
      </c>
      <c r="I90" s="414"/>
    </row>
    <row r="91" spans="2:9" ht="15" customHeight="1" x14ac:dyDescent="0.25">
      <c r="B91" s="413" t="s">
        <v>2564</v>
      </c>
      <c r="C91" s="413"/>
      <c r="D91" s="277"/>
      <c r="E91" s="274" t="s">
        <v>2558</v>
      </c>
      <c r="F91" s="306">
        <v>1.08</v>
      </c>
      <c r="G91" s="274" t="s">
        <v>2496</v>
      </c>
      <c r="H91" s="414">
        <f>F91*D91</f>
        <v>0</v>
      </c>
      <c r="I91" s="414"/>
    </row>
    <row r="92" spans="2:9" ht="15" customHeight="1" x14ac:dyDescent="0.25">
      <c r="B92" s="419" t="s">
        <v>2591</v>
      </c>
      <c r="C92" s="420"/>
      <c r="D92" s="420"/>
      <c r="E92" s="420"/>
      <c r="F92" s="420"/>
      <c r="G92" s="420"/>
      <c r="H92" s="420"/>
      <c r="I92" s="421"/>
    </row>
    <row r="93" spans="2:9" ht="8.25" customHeight="1" x14ac:dyDescent="0.25">
      <c r="B93" s="419"/>
      <c r="C93" s="420"/>
      <c r="D93" s="420"/>
      <c r="E93" s="420"/>
      <c r="F93" s="420"/>
      <c r="G93" s="420"/>
      <c r="H93" s="420"/>
      <c r="I93" s="421"/>
    </row>
    <row r="94" spans="2:9" x14ac:dyDescent="0.25">
      <c r="B94" s="413" t="s">
        <v>2566</v>
      </c>
      <c r="C94" s="413"/>
      <c r="D94" s="277"/>
      <c r="E94" s="274" t="s">
        <v>2558</v>
      </c>
      <c r="F94" s="306">
        <v>0.54</v>
      </c>
      <c r="G94" s="274" t="s">
        <v>2496</v>
      </c>
      <c r="H94" s="414">
        <f t="shared" ref="H94:H99" si="3">F94*D94</f>
        <v>0</v>
      </c>
      <c r="I94" s="414"/>
    </row>
    <row r="95" spans="2:9" x14ac:dyDescent="0.25">
      <c r="B95" s="413" t="s">
        <v>2567</v>
      </c>
      <c r="C95" s="413"/>
      <c r="D95" s="277"/>
      <c r="E95" s="274" t="s">
        <v>2558</v>
      </c>
      <c r="F95" s="306">
        <v>0.46</v>
      </c>
      <c r="G95" s="274" t="s">
        <v>2496</v>
      </c>
      <c r="H95" s="414">
        <f t="shared" si="3"/>
        <v>0</v>
      </c>
      <c r="I95" s="414"/>
    </row>
    <row r="96" spans="2:9" x14ac:dyDescent="0.25">
      <c r="B96" s="413" t="s">
        <v>2568</v>
      </c>
      <c r="C96" s="413"/>
      <c r="D96" s="277"/>
      <c r="E96" s="274" t="s">
        <v>2558</v>
      </c>
      <c r="F96" s="306">
        <v>0.71</v>
      </c>
      <c r="G96" s="274" t="s">
        <v>2496</v>
      </c>
      <c r="H96" s="414">
        <f t="shared" si="3"/>
        <v>0</v>
      </c>
      <c r="I96" s="414"/>
    </row>
    <row r="97" spans="2:10" x14ac:dyDescent="0.25">
      <c r="B97" s="413" t="s">
        <v>2569</v>
      </c>
      <c r="C97" s="413"/>
      <c r="D97" s="277"/>
      <c r="E97" s="274" t="s">
        <v>2558</v>
      </c>
      <c r="F97" s="306">
        <v>0.47</v>
      </c>
      <c r="G97" s="274" t="s">
        <v>2496</v>
      </c>
      <c r="H97" s="414">
        <f t="shared" si="3"/>
        <v>0</v>
      </c>
      <c r="I97" s="414"/>
    </row>
    <row r="98" spans="2:10" x14ac:dyDescent="0.25">
      <c r="B98" s="422" t="s">
        <v>2570</v>
      </c>
      <c r="C98" s="422"/>
      <c r="D98" s="277"/>
      <c r="E98" s="274" t="s">
        <v>2558</v>
      </c>
      <c r="F98" s="306">
        <v>0.32</v>
      </c>
      <c r="G98" s="274" t="s">
        <v>2496</v>
      </c>
      <c r="H98" s="414">
        <f t="shared" si="3"/>
        <v>0</v>
      </c>
      <c r="I98" s="414"/>
    </row>
    <row r="99" spans="2:10" x14ac:dyDescent="0.25">
      <c r="B99" s="413" t="s">
        <v>2571</v>
      </c>
      <c r="C99" s="413"/>
      <c r="D99" s="277"/>
      <c r="E99" s="274" t="s">
        <v>2558</v>
      </c>
      <c r="F99" s="305">
        <v>0.4</v>
      </c>
      <c r="G99" s="274" t="s">
        <v>2496</v>
      </c>
      <c r="H99" s="414">
        <f t="shared" si="3"/>
        <v>0</v>
      </c>
      <c r="I99" s="414"/>
    </row>
    <row r="100" spans="2:10" ht="8.25" customHeight="1" x14ac:dyDescent="0.25">
      <c r="B100" s="419"/>
      <c r="C100" s="420"/>
      <c r="D100" s="420"/>
      <c r="E100" s="420"/>
      <c r="F100" s="420"/>
      <c r="G100" s="420"/>
      <c r="H100" s="420"/>
      <c r="I100" s="421"/>
    </row>
    <row r="101" spans="2:10" x14ac:dyDescent="0.25">
      <c r="B101" s="413" t="s">
        <v>2572</v>
      </c>
      <c r="C101" s="413"/>
      <c r="D101" s="277"/>
      <c r="E101" s="274" t="s">
        <v>2558</v>
      </c>
      <c r="F101" s="306">
        <v>0.63</v>
      </c>
      <c r="G101" s="274" t="s">
        <v>2496</v>
      </c>
      <c r="H101" s="414">
        <f>F101*D101</f>
        <v>0</v>
      </c>
      <c r="I101" s="414"/>
    </row>
    <row r="102" spans="2:10" x14ac:dyDescent="0.25">
      <c r="B102" s="413" t="s">
        <v>2573</v>
      </c>
      <c r="C102" s="413"/>
      <c r="D102" s="277"/>
      <c r="E102" s="274" t="s">
        <v>2558</v>
      </c>
      <c r="F102" s="306">
        <v>0.56999999999999995</v>
      </c>
      <c r="G102" s="274" t="s">
        <v>2496</v>
      </c>
      <c r="H102" s="414">
        <f>F102*D102</f>
        <v>0</v>
      </c>
      <c r="I102" s="414"/>
    </row>
    <row r="103" spans="2:10" x14ac:dyDescent="0.25">
      <c r="B103" s="413" t="s">
        <v>2574</v>
      </c>
      <c r="C103" s="413"/>
      <c r="D103" s="277"/>
      <c r="E103" s="274" t="s">
        <v>2558</v>
      </c>
      <c r="F103" s="306">
        <v>0.61</v>
      </c>
      <c r="G103" s="274" t="s">
        <v>2496</v>
      </c>
      <c r="H103" s="414">
        <f>F103*D103</f>
        <v>0</v>
      </c>
      <c r="I103" s="414"/>
    </row>
    <row r="104" spans="2:10" ht="8.25" customHeight="1" x14ac:dyDescent="0.25">
      <c r="B104" s="415"/>
      <c r="C104" s="416"/>
      <c r="H104" s="416"/>
      <c r="I104" s="417"/>
    </row>
    <row r="105" spans="2:10" x14ac:dyDescent="0.25">
      <c r="B105" s="413" t="s">
        <v>2575</v>
      </c>
      <c r="C105" s="413"/>
      <c r="D105" s="280"/>
      <c r="E105" s="274" t="s">
        <v>2558</v>
      </c>
      <c r="F105" s="306">
        <v>0.68</v>
      </c>
      <c r="G105" s="274" t="s">
        <v>2496</v>
      </c>
      <c r="H105" s="418">
        <f>D105*F105</f>
        <v>0</v>
      </c>
      <c r="I105" s="418"/>
    </row>
    <row r="106" spans="2:10" ht="8.25" customHeight="1" x14ac:dyDescent="0.25">
      <c r="B106" s="407"/>
      <c r="C106" s="407"/>
      <c r="D106" s="308"/>
      <c r="E106" s="309"/>
      <c r="F106" s="310"/>
      <c r="G106" s="309"/>
      <c r="H106" s="407"/>
      <c r="I106" s="407"/>
    </row>
    <row r="107" spans="2:10" ht="16.5" customHeight="1" x14ac:dyDescent="0.25">
      <c r="B107" s="311"/>
      <c r="C107" s="271"/>
      <c r="D107" s="408" t="s">
        <v>2576</v>
      </c>
      <c r="E107" s="408"/>
      <c r="F107" s="408"/>
      <c r="G107" s="274" t="s">
        <v>2496</v>
      </c>
      <c r="H107" s="409">
        <f>SUM(H79:I84,H86:I88,H94:I99,H101:I103,H90:I91,H105)</f>
        <v>0</v>
      </c>
      <c r="I107" s="410"/>
    </row>
    <row r="108" spans="2:10" ht="16.5" customHeight="1" x14ac:dyDescent="0.25">
      <c r="B108" s="311"/>
      <c r="C108" s="271"/>
      <c r="D108" s="405" t="s">
        <v>32</v>
      </c>
      <c r="E108" s="405"/>
      <c r="F108" s="405"/>
      <c r="G108" s="278" t="s">
        <v>2495</v>
      </c>
      <c r="H108" s="411"/>
      <c r="I108" s="412"/>
    </row>
    <row r="109" spans="2:10" ht="16.5" customHeight="1" x14ac:dyDescent="0.25">
      <c r="B109" s="311"/>
      <c r="C109" s="271"/>
      <c r="D109" s="405" t="s">
        <v>2592</v>
      </c>
      <c r="E109" s="405"/>
      <c r="F109" s="405"/>
      <c r="G109" s="281" t="s">
        <v>2496</v>
      </c>
      <c r="H109" s="406" t="e">
        <f>H107/H108</f>
        <v>#DIV/0!</v>
      </c>
      <c r="I109" s="406"/>
    </row>
    <row r="110" spans="2:10" x14ac:dyDescent="0.25">
      <c r="C110" s="319"/>
      <c r="D110" s="319"/>
      <c r="E110" s="319"/>
      <c r="F110" s="319"/>
      <c r="G110" s="319"/>
      <c r="H110" s="319"/>
      <c r="I110" s="319"/>
    </row>
    <row r="111" spans="2:10" x14ac:dyDescent="0.25">
      <c r="B111" s="282" t="s">
        <v>2593</v>
      </c>
      <c r="E111" s="282"/>
      <c r="F111" s="282"/>
      <c r="G111" s="282"/>
      <c r="H111" s="282"/>
      <c r="I111" s="282"/>
      <c r="J111" s="282"/>
    </row>
    <row r="112" spans="2:10" x14ac:dyDescent="0.25">
      <c r="B112" s="282" t="s">
        <v>2594</v>
      </c>
      <c r="C112" s="315"/>
      <c r="D112" s="316"/>
      <c r="E112" s="282"/>
      <c r="F112" s="282"/>
      <c r="G112" s="282"/>
      <c r="H112" s="282"/>
      <c r="I112" s="282"/>
      <c r="J112" s="282"/>
    </row>
    <row r="113" spans="2:10" x14ac:dyDescent="0.25">
      <c r="B113" s="282" t="s">
        <v>2595</v>
      </c>
      <c r="C113" s="295"/>
      <c r="D113" s="282"/>
      <c r="E113" s="282"/>
      <c r="F113" s="282"/>
      <c r="G113" s="282"/>
      <c r="H113" s="282"/>
      <c r="I113" s="282"/>
      <c r="J113" s="282"/>
    </row>
    <row r="114" spans="2:10" x14ac:dyDescent="0.25">
      <c r="B114" s="282" t="s">
        <v>2596</v>
      </c>
      <c r="C114" s="295"/>
      <c r="D114" s="282"/>
      <c r="E114" s="282"/>
      <c r="F114" s="282"/>
      <c r="G114" s="282"/>
      <c r="H114" s="282"/>
      <c r="I114" s="282"/>
      <c r="J114" s="282"/>
    </row>
    <row r="115" spans="2:10" x14ac:dyDescent="0.25">
      <c r="C115" s="282"/>
      <c r="D115" s="282"/>
      <c r="E115" s="282"/>
      <c r="F115" s="282"/>
      <c r="G115" s="282"/>
      <c r="H115" s="282"/>
      <c r="I115" s="282"/>
      <c r="J115" s="282"/>
    </row>
    <row r="116" spans="2:10" ht="12.75" customHeight="1" x14ac:dyDescent="0.25">
      <c r="B116" s="317"/>
      <c r="C116" s="315" t="s">
        <v>2496</v>
      </c>
      <c r="D116" s="316" t="s">
        <v>2526</v>
      </c>
      <c r="E116" s="271"/>
      <c r="F116" s="271"/>
      <c r="G116" s="271"/>
      <c r="H116" s="271"/>
      <c r="I116" s="271"/>
      <c r="J116" s="271"/>
    </row>
    <row r="117" spans="2:10" x14ac:dyDescent="0.25">
      <c r="C117" s="302"/>
      <c r="D117" s="271"/>
      <c r="E117" s="271"/>
      <c r="F117" s="271"/>
      <c r="G117" s="271"/>
      <c r="H117" s="271"/>
      <c r="I117" s="271"/>
      <c r="J117" s="271"/>
    </row>
  </sheetData>
  <sheetProtection selectLockedCells="1"/>
  <mergeCells count="130">
    <mergeCell ref="I2:J2"/>
    <mergeCell ref="D4:J4"/>
    <mergeCell ref="B16:C18"/>
    <mergeCell ref="D16:D18"/>
    <mergeCell ref="E16:E18"/>
    <mergeCell ref="F16:F18"/>
    <mergeCell ref="G16:G18"/>
    <mergeCell ref="H16:I18"/>
    <mergeCell ref="B23:C23"/>
    <mergeCell ref="H23:I23"/>
    <mergeCell ref="B24:C24"/>
    <mergeCell ref="H24:I24"/>
    <mergeCell ref="B25:C25"/>
    <mergeCell ref="H25:I25"/>
    <mergeCell ref="B19:I19"/>
    <mergeCell ref="B20:C20"/>
    <mergeCell ref="H20:I20"/>
    <mergeCell ref="B21:C21"/>
    <mergeCell ref="H21:I21"/>
    <mergeCell ref="B22:C22"/>
    <mergeCell ref="H22:I22"/>
    <mergeCell ref="B30:I30"/>
    <mergeCell ref="B31:C31"/>
    <mergeCell ref="H31:I31"/>
    <mergeCell ref="B32:C32"/>
    <mergeCell ref="H32:I32"/>
    <mergeCell ref="B33:I33"/>
    <mergeCell ref="B26:I26"/>
    <mergeCell ref="B27:C27"/>
    <mergeCell ref="H27:I27"/>
    <mergeCell ref="B28:C28"/>
    <mergeCell ref="H28:I28"/>
    <mergeCell ref="B29:C29"/>
    <mergeCell ref="H29:I29"/>
    <mergeCell ref="B38:C38"/>
    <mergeCell ref="H38:I38"/>
    <mergeCell ref="B39:C39"/>
    <mergeCell ref="H39:I39"/>
    <mergeCell ref="B40:C40"/>
    <mergeCell ref="H40:I40"/>
    <mergeCell ref="B34:I34"/>
    <mergeCell ref="B35:C35"/>
    <mergeCell ref="H35:I35"/>
    <mergeCell ref="B36:C36"/>
    <mergeCell ref="H36:I36"/>
    <mergeCell ref="B37:C37"/>
    <mergeCell ref="H37:I37"/>
    <mergeCell ref="B45:C45"/>
    <mergeCell ref="H45:I45"/>
    <mergeCell ref="B46:C46"/>
    <mergeCell ref="H46:I46"/>
    <mergeCell ref="H47:I47"/>
    <mergeCell ref="D48:F48"/>
    <mergeCell ref="H48:I48"/>
    <mergeCell ref="B41:I41"/>
    <mergeCell ref="B42:C42"/>
    <mergeCell ref="H42:I42"/>
    <mergeCell ref="B43:C43"/>
    <mergeCell ref="H43:I43"/>
    <mergeCell ref="B44:C44"/>
    <mergeCell ref="H44:I44"/>
    <mergeCell ref="H75:I77"/>
    <mergeCell ref="B78:I78"/>
    <mergeCell ref="B79:C79"/>
    <mergeCell ref="H79:I79"/>
    <mergeCell ref="B80:C80"/>
    <mergeCell ref="H80:I80"/>
    <mergeCell ref="D49:F49"/>
    <mergeCell ref="H49:I49"/>
    <mergeCell ref="D50:F50"/>
    <mergeCell ref="H50:I50"/>
    <mergeCell ref="D62:J62"/>
    <mergeCell ref="B75:C77"/>
    <mergeCell ref="D75:D77"/>
    <mergeCell ref="E75:E77"/>
    <mergeCell ref="F75:F77"/>
    <mergeCell ref="G75:G77"/>
    <mergeCell ref="B84:C84"/>
    <mergeCell ref="H84:I84"/>
    <mergeCell ref="B85:I85"/>
    <mergeCell ref="B86:C86"/>
    <mergeCell ref="H86:I86"/>
    <mergeCell ref="B87:C87"/>
    <mergeCell ref="H87:I87"/>
    <mergeCell ref="B81:C81"/>
    <mergeCell ref="H81:I81"/>
    <mergeCell ref="B82:C82"/>
    <mergeCell ref="H82:I82"/>
    <mergeCell ref="B83:C83"/>
    <mergeCell ref="H83:I83"/>
    <mergeCell ref="B92:I92"/>
    <mergeCell ref="B93:I93"/>
    <mergeCell ref="B94:C94"/>
    <mergeCell ref="H94:I94"/>
    <mergeCell ref="B95:C95"/>
    <mergeCell ref="H95:I95"/>
    <mergeCell ref="B88:C88"/>
    <mergeCell ref="H88:I88"/>
    <mergeCell ref="B89:I89"/>
    <mergeCell ref="B90:C90"/>
    <mergeCell ref="H90:I90"/>
    <mergeCell ref="B91:C91"/>
    <mergeCell ref="H91:I91"/>
    <mergeCell ref="B99:C99"/>
    <mergeCell ref="H99:I99"/>
    <mergeCell ref="B100:I100"/>
    <mergeCell ref="B101:C101"/>
    <mergeCell ref="H101:I101"/>
    <mergeCell ref="B102:C102"/>
    <mergeCell ref="H102:I102"/>
    <mergeCell ref="B96:C96"/>
    <mergeCell ref="H96:I96"/>
    <mergeCell ref="B97:C97"/>
    <mergeCell ref="H97:I97"/>
    <mergeCell ref="B98:C98"/>
    <mergeCell ref="H98:I98"/>
    <mergeCell ref="D109:F109"/>
    <mergeCell ref="H109:I109"/>
    <mergeCell ref="B106:C106"/>
    <mergeCell ref="H106:I106"/>
    <mergeCell ref="D107:F107"/>
    <mergeCell ref="H107:I107"/>
    <mergeCell ref="D108:F108"/>
    <mergeCell ref="H108:I108"/>
    <mergeCell ref="B103:C103"/>
    <mergeCell ref="H103:I103"/>
    <mergeCell ref="B104:C104"/>
    <mergeCell ref="H104:I104"/>
    <mergeCell ref="B105:C105"/>
    <mergeCell ref="H105:I105"/>
  </mergeCells>
  <pageMargins left="0.75" right="0.75" top="0.4" bottom="0.7" header="0.4" footer="0.4"/>
  <pageSetup scale="94" orientation="portrait" r:id="rId1"/>
  <headerFooter alignWithMargins="0"/>
  <rowBreaks count="1" manualBreakCount="1">
    <brk id="58" min="1" max="9" man="1"/>
  </rowBreaks>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8388D-09FA-4D0F-B11B-87356A554F1C}">
  <sheetPr>
    <tabColor theme="7" tint="0.39997558519241921"/>
  </sheetPr>
  <dimension ref="B2:J104"/>
  <sheetViews>
    <sheetView zoomScaleNormal="100" workbookViewId="0">
      <selection activeCell="M58" sqref="M58"/>
    </sheetView>
  </sheetViews>
  <sheetFormatPr defaultColWidth="9.109375" defaultRowHeight="13.2" x14ac:dyDescent="0.25"/>
  <cols>
    <col min="1" max="1" width="1.5546875" style="266" customWidth="1"/>
    <col min="2" max="2" width="11.44140625" style="266" customWidth="1"/>
    <col min="3" max="3" width="13.6640625" style="266" customWidth="1"/>
    <col min="4" max="4" width="11.88671875" style="266" customWidth="1"/>
    <col min="5" max="5" width="4.109375" style="266" customWidth="1"/>
    <col min="6" max="6" width="14.33203125" style="266" customWidth="1"/>
    <col min="7" max="7" width="4" style="266" customWidth="1"/>
    <col min="8" max="8" width="10.5546875" style="266" customWidth="1"/>
    <col min="9" max="9" width="4.109375" style="266" customWidth="1"/>
    <col min="10" max="10" width="10.6640625" style="266" customWidth="1"/>
    <col min="11" max="11" width="9.44140625" style="266" customWidth="1"/>
    <col min="12" max="16384" width="9.109375" style="266"/>
  </cols>
  <sheetData>
    <row r="2" spans="2:10" x14ac:dyDescent="0.25">
      <c r="J2" s="267" t="s">
        <v>2479</v>
      </c>
    </row>
    <row r="4" spans="2:10" x14ac:dyDescent="0.25">
      <c r="J4" s="268" t="s">
        <v>2597</v>
      </c>
    </row>
    <row r="5" spans="2:10" ht="3" customHeight="1" x14ac:dyDescent="0.25">
      <c r="B5" s="269"/>
      <c r="C5" s="269"/>
      <c r="D5" s="269"/>
      <c r="E5" s="269"/>
      <c r="F5" s="320"/>
      <c r="G5" s="320"/>
      <c r="H5" s="320"/>
      <c r="I5" s="320"/>
      <c r="J5" s="320"/>
    </row>
    <row r="6" spans="2:10" ht="14.4" x14ac:dyDescent="0.35">
      <c r="B6" s="321" t="s">
        <v>2598</v>
      </c>
    </row>
    <row r="7" spans="2:10" ht="9" customHeight="1" x14ac:dyDescent="0.35">
      <c r="B7" s="283"/>
    </row>
    <row r="8" spans="2:10" ht="14.4" x14ac:dyDescent="0.35">
      <c r="B8" s="322" t="s">
        <v>2599</v>
      </c>
    </row>
    <row r="9" spans="2:10" ht="12.75" customHeight="1" x14ac:dyDescent="0.3">
      <c r="B9" s="323" t="s">
        <v>2600</v>
      </c>
    </row>
    <row r="10" spans="2:10" ht="12.75" customHeight="1" x14ac:dyDescent="0.3">
      <c r="B10" s="323" t="s">
        <v>2601</v>
      </c>
    </row>
    <row r="11" spans="2:10" ht="12.75" customHeight="1" x14ac:dyDescent="0.3">
      <c r="B11" s="323" t="s">
        <v>2602</v>
      </c>
    </row>
    <row r="12" spans="2:10" ht="13.5" customHeight="1" x14ac:dyDescent="0.3">
      <c r="B12" s="323" t="s">
        <v>2603</v>
      </c>
    </row>
    <row r="13" spans="2:10" ht="13.5" customHeight="1" x14ac:dyDescent="0.3">
      <c r="B13" s="323" t="s">
        <v>2604</v>
      </c>
    </row>
    <row r="14" spans="2:10" ht="11.25" customHeight="1" x14ac:dyDescent="0.35">
      <c r="B14" s="283"/>
    </row>
    <row r="15" spans="2:10" ht="14.4" x14ac:dyDescent="0.35">
      <c r="B15" s="324" t="s">
        <v>2605</v>
      </c>
    </row>
    <row r="16" spans="2:10" ht="13.5" customHeight="1" x14ac:dyDescent="0.3">
      <c r="B16" s="323" t="s">
        <v>2606</v>
      </c>
    </row>
    <row r="17" spans="2:10" ht="12" customHeight="1" x14ac:dyDescent="0.3">
      <c r="B17" s="323" t="s">
        <v>2607</v>
      </c>
    </row>
    <row r="18" spans="2:10" ht="12" customHeight="1" x14ac:dyDescent="0.3">
      <c r="B18" s="323" t="s">
        <v>2608</v>
      </c>
    </row>
    <row r="19" spans="2:10" ht="13.5" customHeight="1" x14ac:dyDescent="0.3">
      <c r="B19" s="323" t="s">
        <v>2609</v>
      </c>
    </row>
    <row r="20" spans="2:10" ht="9.75" customHeight="1" x14ac:dyDescent="0.35">
      <c r="B20" s="283"/>
    </row>
    <row r="21" spans="2:10" ht="45" customHeight="1" x14ac:dyDescent="0.25">
      <c r="B21" s="325" t="s">
        <v>2610</v>
      </c>
      <c r="C21" s="326" t="s">
        <v>2611</v>
      </c>
      <c r="D21" s="325" t="s">
        <v>2612</v>
      </c>
      <c r="E21" s="327"/>
      <c r="F21" s="327"/>
      <c r="G21" s="327"/>
      <c r="H21" s="328" t="s">
        <v>2613</v>
      </c>
      <c r="I21" s="327"/>
      <c r="J21" s="328" t="s">
        <v>2614</v>
      </c>
    </row>
    <row r="22" spans="2:10" ht="14.4" x14ac:dyDescent="0.25">
      <c r="B22" s="329"/>
      <c r="C22" s="329"/>
      <c r="D22" s="330">
        <f t="shared" ref="D22:D27" si="0">(B22/2000)^2*3.14*C22</f>
        <v>0</v>
      </c>
      <c r="E22" s="331" t="s">
        <v>2512</v>
      </c>
      <c r="F22" s="332">
        <v>0.28000000000000003</v>
      </c>
      <c r="G22" s="333" t="s">
        <v>2495</v>
      </c>
      <c r="H22" s="334"/>
      <c r="I22" s="331" t="s">
        <v>2496</v>
      </c>
      <c r="J22" s="332" t="e">
        <f t="shared" ref="J22:J27" si="1">D22*F22/H22</f>
        <v>#DIV/0!</v>
      </c>
    </row>
    <row r="23" spans="2:10" ht="14.4" x14ac:dyDescent="0.25">
      <c r="B23" s="329"/>
      <c r="C23" s="329"/>
      <c r="D23" s="330">
        <f t="shared" si="0"/>
        <v>0</v>
      </c>
      <c r="E23" s="331" t="s">
        <v>2512</v>
      </c>
      <c r="F23" s="332">
        <v>0.28000000000000003</v>
      </c>
      <c r="G23" s="333" t="s">
        <v>2495</v>
      </c>
      <c r="H23" s="334"/>
      <c r="I23" s="331" t="s">
        <v>2496</v>
      </c>
      <c r="J23" s="332" t="e">
        <f t="shared" si="1"/>
        <v>#DIV/0!</v>
      </c>
    </row>
    <row r="24" spans="2:10" ht="14.4" x14ac:dyDescent="0.25">
      <c r="B24" s="329"/>
      <c r="C24" s="329"/>
      <c r="D24" s="330">
        <f t="shared" si="0"/>
        <v>0</v>
      </c>
      <c r="E24" s="331" t="s">
        <v>2512</v>
      </c>
      <c r="F24" s="332">
        <v>0.28000000000000003</v>
      </c>
      <c r="G24" s="333" t="s">
        <v>2495</v>
      </c>
      <c r="H24" s="334"/>
      <c r="I24" s="331" t="s">
        <v>2496</v>
      </c>
      <c r="J24" s="332" t="e">
        <f t="shared" si="1"/>
        <v>#DIV/0!</v>
      </c>
    </row>
    <row r="25" spans="2:10" ht="14.4" x14ac:dyDescent="0.25">
      <c r="B25" s="329"/>
      <c r="C25" s="329"/>
      <c r="D25" s="330">
        <f t="shared" si="0"/>
        <v>0</v>
      </c>
      <c r="E25" s="331" t="s">
        <v>2512</v>
      </c>
      <c r="F25" s="332">
        <v>0.28000000000000003</v>
      </c>
      <c r="G25" s="333" t="s">
        <v>2495</v>
      </c>
      <c r="H25" s="334"/>
      <c r="I25" s="331" t="s">
        <v>2496</v>
      </c>
      <c r="J25" s="332" t="e">
        <f t="shared" si="1"/>
        <v>#DIV/0!</v>
      </c>
    </row>
    <row r="26" spans="2:10" ht="14.4" x14ac:dyDescent="0.25">
      <c r="B26" s="329"/>
      <c r="C26" s="329"/>
      <c r="D26" s="330">
        <f t="shared" si="0"/>
        <v>0</v>
      </c>
      <c r="E26" s="331" t="s">
        <v>2512</v>
      </c>
      <c r="F26" s="332">
        <v>0.28000000000000003</v>
      </c>
      <c r="G26" s="333" t="s">
        <v>2495</v>
      </c>
      <c r="H26" s="334"/>
      <c r="I26" s="331" t="s">
        <v>2496</v>
      </c>
      <c r="J26" s="332" t="e">
        <f t="shared" si="1"/>
        <v>#DIV/0!</v>
      </c>
    </row>
    <row r="27" spans="2:10" ht="14.4" x14ac:dyDescent="0.25">
      <c r="B27" s="329"/>
      <c r="C27" s="329"/>
      <c r="D27" s="330">
        <f t="shared" si="0"/>
        <v>0</v>
      </c>
      <c r="E27" s="331" t="s">
        <v>2512</v>
      </c>
      <c r="F27" s="332">
        <v>0.28000000000000003</v>
      </c>
      <c r="G27" s="333" t="s">
        <v>2495</v>
      </c>
      <c r="H27" s="334"/>
      <c r="I27" s="331" t="s">
        <v>2496</v>
      </c>
      <c r="J27" s="332" t="e">
        <f t="shared" si="1"/>
        <v>#DIV/0!</v>
      </c>
    </row>
    <row r="28" spans="2:10" ht="14.4" x14ac:dyDescent="0.25">
      <c r="B28" s="335"/>
      <c r="C28" s="335"/>
      <c r="D28" s="336"/>
      <c r="E28" s="337"/>
      <c r="F28" s="338"/>
      <c r="G28" s="338"/>
      <c r="H28" s="339" t="s">
        <v>2615</v>
      </c>
      <c r="I28" s="332" t="s">
        <v>2496</v>
      </c>
      <c r="J28" s="332">
        <f>SUMIF(J22:J27,"&gt;0")</f>
        <v>0</v>
      </c>
    </row>
    <row r="29" spans="2:10" ht="14.4" x14ac:dyDescent="0.25">
      <c r="B29" s="335"/>
      <c r="C29" s="335"/>
      <c r="D29" s="336"/>
      <c r="E29" s="318"/>
      <c r="F29" s="340"/>
      <c r="G29" s="340"/>
      <c r="H29" s="340"/>
      <c r="I29" s="341"/>
      <c r="J29" s="341"/>
    </row>
    <row r="30" spans="2:10" ht="15" customHeight="1" x14ac:dyDescent="0.3">
      <c r="B30" s="323" t="s">
        <v>2616</v>
      </c>
      <c r="E30" s="340"/>
    </row>
    <row r="31" spans="2:10" ht="8.25" customHeight="1" x14ac:dyDescent="0.3">
      <c r="B31" s="323"/>
    </row>
    <row r="32" spans="2:10" ht="14.4" x14ac:dyDescent="0.35">
      <c r="B32" s="324" t="s">
        <v>2617</v>
      </c>
    </row>
    <row r="33" spans="2:10" ht="12" customHeight="1" x14ac:dyDescent="0.3">
      <c r="B33" s="323" t="s">
        <v>2606</v>
      </c>
    </row>
    <row r="34" spans="2:10" ht="12" customHeight="1" x14ac:dyDescent="0.3">
      <c r="B34" s="323" t="s">
        <v>2618</v>
      </c>
    </row>
    <row r="35" spans="2:10" ht="12" customHeight="1" x14ac:dyDescent="0.3">
      <c r="B35" s="323" t="s">
        <v>2619</v>
      </c>
    </row>
    <row r="36" spans="2:10" ht="12.75" customHeight="1" x14ac:dyDescent="0.3">
      <c r="B36" s="323" t="s">
        <v>2609</v>
      </c>
    </row>
    <row r="37" spans="2:10" ht="10.5" customHeight="1" x14ac:dyDescent="0.35">
      <c r="B37" s="283"/>
    </row>
    <row r="38" spans="2:10" ht="45" customHeight="1" x14ac:dyDescent="0.25">
      <c r="B38" s="325" t="s">
        <v>2610</v>
      </c>
      <c r="C38" s="326" t="s">
        <v>2611</v>
      </c>
      <c r="D38" s="325" t="s">
        <v>2620</v>
      </c>
      <c r="E38" s="327"/>
      <c r="F38" s="328" t="s">
        <v>2621</v>
      </c>
      <c r="G38" s="327"/>
      <c r="H38" s="327"/>
      <c r="I38" s="327"/>
      <c r="J38" s="328" t="s">
        <v>2614</v>
      </c>
    </row>
    <row r="39" spans="2:10" ht="14.4" x14ac:dyDescent="0.25">
      <c r="B39" s="329"/>
      <c r="C39" s="329"/>
      <c r="D39" s="330">
        <f t="shared" ref="D39:D44" si="2">(B39/2000)^2*3.14*C39</f>
        <v>0</v>
      </c>
      <c r="E39" s="331" t="s">
        <v>2512</v>
      </c>
      <c r="F39" s="334"/>
      <c r="G39" s="333" t="s">
        <v>2495</v>
      </c>
      <c r="H39" s="332">
        <v>7600</v>
      </c>
      <c r="I39" s="331" t="s">
        <v>2496</v>
      </c>
      <c r="J39" s="332">
        <f t="shared" ref="J39:J44" si="3">D39*F39/7600</f>
        <v>0</v>
      </c>
    </row>
    <row r="40" spans="2:10" ht="14.4" x14ac:dyDescent="0.25">
      <c r="B40" s="329"/>
      <c r="C40" s="329"/>
      <c r="D40" s="330">
        <f t="shared" si="2"/>
        <v>0</v>
      </c>
      <c r="E40" s="331" t="s">
        <v>2512</v>
      </c>
      <c r="F40" s="334"/>
      <c r="G40" s="333" t="s">
        <v>2495</v>
      </c>
      <c r="H40" s="332">
        <v>7600</v>
      </c>
      <c r="I40" s="331" t="s">
        <v>2496</v>
      </c>
      <c r="J40" s="332">
        <f t="shared" si="3"/>
        <v>0</v>
      </c>
    </row>
    <row r="41" spans="2:10" ht="14.4" x14ac:dyDescent="0.25">
      <c r="B41" s="329"/>
      <c r="C41" s="329"/>
      <c r="D41" s="330">
        <f t="shared" si="2"/>
        <v>0</v>
      </c>
      <c r="E41" s="331" t="s">
        <v>2512</v>
      </c>
      <c r="F41" s="334"/>
      <c r="G41" s="333" t="s">
        <v>2495</v>
      </c>
      <c r="H41" s="332">
        <v>7600</v>
      </c>
      <c r="I41" s="331" t="s">
        <v>2496</v>
      </c>
      <c r="J41" s="332">
        <f t="shared" si="3"/>
        <v>0</v>
      </c>
    </row>
    <row r="42" spans="2:10" ht="14.4" x14ac:dyDescent="0.25">
      <c r="B42" s="329"/>
      <c r="C42" s="329"/>
      <c r="D42" s="330">
        <f t="shared" si="2"/>
        <v>0</v>
      </c>
      <c r="E42" s="331" t="s">
        <v>2512</v>
      </c>
      <c r="F42" s="334"/>
      <c r="G42" s="333" t="s">
        <v>2495</v>
      </c>
      <c r="H42" s="332">
        <v>7600</v>
      </c>
      <c r="I42" s="331" t="s">
        <v>2496</v>
      </c>
      <c r="J42" s="332">
        <f t="shared" si="3"/>
        <v>0</v>
      </c>
    </row>
    <row r="43" spans="2:10" ht="14.4" x14ac:dyDescent="0.25">
      <c r="B43" s="329"/>
      <c r="C43" s="329"/>
      <c r="D43" s="330">
        <f t="shared" si="2"/>
        <v>0</v>
      </c>
      <c r="E43" s="331" t="s">
        <v>2512</v>
      </c>
      <c r="F43" s="334"/>
      <c r="G43" s="333" t="s">
        <v>2495</v>
      </c>
      <c r="H43" s="332">
        <v>7600</v>
      </c>
      <c r="I43" s="331" t="s">
        <v>2496</v>
      </c>
      <c r="J43" s="332">
        <f t="shared" si="3"/>
        <v>0</v>
      </c>
    </row>
    <row r="44" spans="2:10" ht="14.4" x14ac:dyDescent="0.25">
      <c r="B44" s="329"/>
      <c r="C44" s="329"/>
      <c r="D44" s="330">
        <f t="shared" si="2"/>
        <v>0</v>
      </c>
      <c r="E44" s="331" t="s">
        <v>2512</v>
      </c>
      <c r="F44" s="342"/>
      <c r="G44" s="343" t="s">
        <v>2495</v>
      </c>
      <c r="H44" s="344">
        <v>7600</v>
      </c>
      <c r="I44" s="331" t="s">
        <v>2496</v>
      </c>
      <c r="J44" s="332">
        <f t="shared" si="3"/>
        <v>0</v>
      </c>
    </row>
    <row r="45" spans="2:10" ht="14.4" x14ac:dyDescent="0.25">
      <c r="E45" s="345"/>
      <c r="F45" s="339"/>
      <c r="G45" s="338"/>
      <c r="H45" s="346" t="s">
        <v>2615</v>
      </c>
      <c r="I45" s="332" t="s">
        <v>2496</v>
      </c>
      <c r="J45" s="332">
        <f>SUM(J39:J44)</f>
        <v>0</v>
      </c>
    </row>
    <row r="46" spans="2:10" ht="9" customHeight="1" x14ac:dyDescent="0.25"/>
    <row r="47" spans="2:10" ht="12.75" customHeight="1" x14ac:dyDescent="0.3">
      <c r="B47" s="323" t="s">
        <v>2622</v>
      </c>
    </row>
    <row r="48" spans="2:10" ht="12" customHeight="1" x14ac:dyDescent="0.3">
      <c r="B48" s="323" t="s">
        <v>2623</v>
      </c>
    </row>
    <row r="49" spans="2:10" x14ac:dyDescent="0.25">
      <c r="B49" s="296"/>
      <c r="C49" s="297" t="s">
        <v>2496</v>
      </c>
      <c r="D49" s="271" t="s">
        <v>2526</v>
      </c>
    </row>
    <row r="51" spans="2:10" ht="14.4" x14ac:dyDescent="0.35">
      <c r="B51" s="347"/>
    </row>
    <row r="52" spans="2:10" ht="14.4" x14ac:dyDescent="0.35">
      <c r="B52" s="347"/>
    </row>
    <row r="53" spans="2:10" ht="14.4" x14ac:dyDescent="0.35">
      <c r="B53" s="347"/>
    </row>
    <row r="54" spans="2:10" ht="14.4" x14ac:dyDescent="0.35">
      <c r="B54" s="347"/>
      <c r="J54" s="268" t="s">
        <v>2624</v>
      </c>
    </row>
    <row r="55" spans="2:10" ht="3.75" customHeight="1" x14ac:dyDescent="0.25">
      <c r="B55" s="269"/>
      <c r="C55" s="269"/>
      <c r="D55" s="269"/>
      <c r="E55" s="269"/>
      <c r="F55" s="269"/>
      <c r="G55" s="269"/>
      <c r="H55" s="269"/>
      <c r="I55" s="269"/>
      <c r="J55" s="269"/>
    </row>
    <row r="57" spans="2:10" ht="14.4" x14ac:dyDescent="0.35">
      <c r="B57" s="322" t="s">
        <v>891</v>
      </c>
    </row>
    <row r="58" spans="2:10" ht="14.4" x14ac:dyDescent="0.35">
      <c r="B58" s="283" t="s">
        <v>2625</v>
      </c>
    </row>
    <row r="59" spans="2:10" ht="14.4" x14ac:dyDescent="0.35">
      <c r="B59" s="283" t="s">
        <v>2626</v>
      </c>
    </row>
    <row r="60" spans="2:10" ht="14.4" x14ac:dyDescent="0.35">
      <c r="B60" s="283" t="s">
        <v>2627</v>
      </c>
    </row>
    <row r="61" spans="2:10" ht="14.4" x14ac:dyDescent="0.35">
      <c r="B61" s="283" t="s">
        <v>2628</v>
      </c>
    </row>
    <row r="62" spans="2:10" ht="14.4" x14ac:dyDescent="0.35">
      <c r="B62" s="283" t="s">
        <v>2629</v>
      </c>
    </row>
    <row r="64" spans="2:10" ht="43.2" x14ac:dyDescent="0.25">
      <c r="B64" s="325" t="s">
        <v>2610</v>
      </c>
      <c r="C64" s="326" t="s">
        <v>2611</v>
      </c>
      <c r="D64" s="325" t="s">
        <v>2612</v>
      </c>
      <c r="E64" s="327"/>
      <c r="F64" s="328" t="s">
        <v>2630</v>
      </c>
      <c r="G64" s="327"/>
      <c r="H64" s="328" t="s">
        <v>2631</v>
      </c>
    </row>
    <row r="65" spans="2:10" ht="14.4" x14ac:dyDescent="0.25">
      <c r="B65" s="348"/>
      <c r="C65" s="349"/>
      <c r="D65" s="330">
        <f t="shared" ref="D65:D70" si="4">(B65/2000)^2*3.14*C65</f>
        <v>0</v>
      </c>
      <c r="E65" s="331" t="s">
        <v>2512</v>
      </c>
      <c r="F65" s="350"/>
      <c r="G65" s="331" t="s">
        <v>2496</v>
      </c>
      <c r="H65" s="332">
        <f t="shared" ref="H65:H70" si="5">D65*F65*100</f>
        <v>0</v>
      </c>
    </row>
    <row r="66" spans="2:10" ht="14.4" x14ac:dyDescent="0.25">
      <c r="B66" s="348"/>
      <c r="C66" s="349"/>
      <c r="D66" s="330">
        <f t="shared" si="4"/>
        <v>0</v>
      </c>
      <c r="E66" s="331" t="s">
        <v>2512</v>
      </c>
      <c r="F66" s="350"/>
      <c r="G66" s="331" t="s">
        <v>2496</v>
      </c>
      <c r="H66" s="332">
        <f t="shared" si="5"/>
        <v>0</v>
      </c>
    </row>
    <row r="67" spans="2:10" ht="14.4" x14ac:dyDescent="0.25">
      <c r="B67" s="348"/>
      <c r="C67" s="349"/>
      <c r="D67" s="330">
        <f t="shared" si="4"/>
        <v>0</v>
      </c>
      <c r="E67" s="331" t="s">
        <v>2512</v>
      </c>
      <c r="F67" s="350"/>
      <c r="G67" s="331" t="s">
        <v>2496</v>
      </c>
      <c r="H67" s="332">
        <f t="shared" si="5"/>
        <v>0</v>
      </c>
    </row>
    <row r="68" spans="2:10" ht="14.4" x14ac:dyDescent="0.25">
      <c r="B68" s="329"/>
      <c r="C68" s="329"/>
      <c r="D68" s="330">
        <f t="shared" si="4"/>
        <v>0</v>
      </c>
      <c r="E68" s="331" t="s">
        <v>2512</v>
      </c>
      <c r="F68" s="350"/>
      <c r="G68" s="331" t="s">
        <v>2496</v>
      </c>
      <c r="H68" s="332">
        <f t="shared" si="5"/>
        <v>0</v>
      </c>
    </row>
    <row r="69" spans="2:10" ht="14.4" x14ac:dyDescent="0.25">
      <c r="B69" s="329"/>
      <c r="C69" s="329"/>
      <c r="D69" s="330">
        <f t="shared" si="4"/>
        <v>0</v>
      </c>
      <c r="E69" s="331" t="s">
        <v>2512</v>
      </c>
      <c r="F69" s="350"/>
      <c r="G69" s="331" t="s">
        <v>2496</v>
      </c>
      <c r="H69" s="332">
        <f t="shared" si="5"/>
        <v>0</v>
      </c>
    </row>
    <row r="70" spans="2:10" ht="14.4" x14ac:dyDescent="0.25">
      <c r="B70" s="329"/>
      <c r="C70" s="329"/>
      <c r="D70" s="330">
        <f t="shared" si="4"/>
        <v>0</v>
      </c>
      <c r="E70" s="351" t="s">
        <v>2512</v>
      </c>
      <c r="F70" s="352"/>
      <c r="G70" s="331" t="s">
        <v>2496</v>
      </c>
      <c r="H70" s="332">
        <f t="shared" si="5"/>
        <v>0</v>
      </c>
    </row>
    <row r="71" spans="2:10" ht="14.4" x14ac:dyDescent="0.25">
      <c r="D71" s="353"/>
      <c r="E71" s="339"/>
      <c r="F71" s="346" t="s">
        <v>2632</v>
      </c>
      <c r="G71" s="354" t="s">
        <v>2496</v>
      </c>
      <c r="H71" s="332">
        <f>SUM(H65:H70)</f>
        <v>0</v>
      </c>
    </row>
    <row r="72" spans="2:10" ht="14.4" x14ac:dyDescent="0.25">
      <c r="E72" s="355"/>
      <c r="F72" s="356"/>
      <c r="G72" s="278" t="s">
        <v>2495</v>
      </c>
      <c r="H72" s="307">
        <v>0.6</v>
      </c>
    </row>
    <row r="73" spans="2:10" ht="15" customHeight="1" x14ac:dyDescent="0.25">
      <c r="E73" s="357"/>
      <c r="F73" s="358" t="s">
        <v>32</v>
      </c>
      <c r="G73" s="359" t="s">
        <v>2495</v>
      </c>
      <c r="H73" s="280"/>
    </row>
    <row r="74" spans="2:10" ht="14.4" x14ac:dyDescent="0.25">
      <c r="E74" s="360"/>
      <c r="F74" s="361" t="s">
        <v>2493</v>
      </c>
      <c r="G74" s="359" t="s">
        <v>2495</v>
      </c>
      <c r="H74" s="280"/>
    </row>
    <row r="75" spans="2:10" ht="12.75" customHeight="1" x14ac:dyDescent="0.25">
      <c r="C75" s="431" t="s">
        <v>2633</v>
      </c>
      <c r="D75" s="432"/>
      <c r="E75" s="432"/>
      <c r="F75" s="432"/>
      <c r="G75" s="307" t="s">
        <v>2496</v>
      </c>
      <c r="H75" s="307" t="e">
        <f>H71/(0.6*H73*H74)</f>
        <v>#DIV/0!</v>
      </c>
    </row>
    <row r="76" spans="2:10" ht="14.4" x14ac:dyDescent="0.25">
      <c r="C76" s="319"/>
      <c r="D76" s="319"/>
      <c r="E76" s="362"/>
      <c r="F76" s="341"/>
      <c r="G76" s="318"/>
      <c r="H76" s="318"/>
      <c r="I76" s="363"/>
      <c r="J76" s="363"/>
    </row>
    <row r="77" spans="2:10" ht="14.4" x14ac:dyDescent="0.35">
      <c r="B77" s="364" t="s">
        <v>2634</v>
      </c>
    </row>
    <row r="78" spans="2:10" ht="14.4" x14ac:dyDescent="0.35">
      <c r="B78" s="364" t="s">
        <v>2635</v>
      </c>
      <c r="C78" s="364"/>
    </row>
    <row r="79" spans="2:10" ht="14.4" x14ac:dyDescent="0.35">
      <c r="B79" s="347" t="s">
        <v>2636</v>
      </c>
    </row>
    <row r="80" spans="2:10" ht="14.4" x14ac:dyDescent="0.35">
      <c r="B80" s="347" t="s">
        <v>2637</v>
      </c>
    </row>
    <row r="81" spans="2:4" ht="14.4" x14ac:dyDescent="0.35">
      <c r="B81" s="347" t="s">
        <v>2638</v>
      </c>
    </row>
    <row r="82" spans="2:4" ht="14.4" x14ac:dyDescent="0.35">
      <c r="B82" s="266" t="s">
        <v>2639</v>
      </c>
      <c r="C82" s="364"/>
    </row>
    <row r="83" spans="2:4" ht="14.4" x14ac:dyDescent="0.35">
      <c r="B83" s="283" t="s">
        <v>2640</v>
      </c>
    </row>
    <row r="84" spans="2:4" x14ac:dyDescent="0.25">
      <c r="B84" s="266" t="s">
        <v>2641</v>
      </c>
    </row>
    <row r="85" spans="2:4" x14ac:dyDescent="0.25">
      <c r="B85" s="266" t="s">
        <v>2642</v>
      </c>
    </row>
    <row r="87" spans="2:4" x14ac:dyDescent="0.25">
      <c r="B87" s="296"/>
      <c r="C87" s="297" t="s">
        <v>2496</v>
      </c>
      <c r="D87" s="271" t="s">
        <v>2526</v>
      </c>
    </row>
    <row r="88" spans="2:4" x14ac:dyDescent="0.25">
      <c r="C88" s="365"/>
    </row>
    <row r="89" spans="2:4" x14ac:dyDescent="0.25">
      <c r="B89" s="271"/>
      <c r="C89" s="302"/>
      <c r="D89" s="271"/>
    </row>
    <row r="90" spans="2:4" x14ac:dyDescent="0.25">
      <c r="B90" s="271"/>
      <c r="C90" s="302"/>
      <c r="D90" s="271"/>
    </row>
    <row r="91" spans="2:4" x14ac:dyDescent="0.25">
      <c r="B91" s="271"/>
      <c r="C91" s="302"/>
      <c r="D91" s="271"/>
    </row>
    <row r="92" spans="2:4" x14ac:dyDescent="0.25">
      <c r="B92" s="271"/>
      <c r="C92" s="302"/>
      <c r="D92" s="271"/>
    </row>
    <row r="93" spans="2:4" x14ac:dyDescent="0.25">
      <c r="B93" s="271"/>
      <c r="C93" s="302"/>
      <c r="D93" s="271"/>
    </row>
    <row r="94" spans="2:4" x14ac:dyDescent="0.25">
      <c r="B94" s="271"/>
      <c r="C94" s="302"/>
      <c r="D94" s="271"/>
    </row>
    <row r="95" spans="2:4" x14ac:dyDescent="0.25">
      <c r="B95" s="271"/>
      <c r="C95" s="302"/>
      <c r="D95" s="271"/>
    </row>
    <row r="96" spans="2:4" x14ac:dyDescent="0.25">
      <c r="B96" s="271"/>
      <c r="C96" s="302"/>
      <c r="D96" s="271"/>
    </row>
    <row r="97" spans="2:4" x14ac:dyDescent="0.25">
      <c r="B97" s="271"/>
      <c r="C97" s="302"/>
      <c r="D97" s="271"/>
    </row>
    <row r="98" spans="2:4" x14ac:dyDescent="0.25">
      <c r="B98" s="271"/>
      <c r="C98" s="302"/>
      <c r="D98" s="271"/>
    </row>
    <row r="99" spans="2:4" x14ac:dyDescent="0.25">
      <c r="B99" s="271"/>
      <c r="C99" s="302"/>
      <c r="D99" s="271"/>
    </row>
    <row r="100" spans="2:4" x14ac:dyDescent="0.25">
      <c r="B100" s="271"/>
      <c r="C100" s="302"/>
      <c r="D100" s="271"/>
    </row>
    <row r="101" spans="2:4" x14ac:dyDescent="0.25">
      <c r="B101" s="271"/>
      <c r="C101" s="302"/>
      <c r="D101" s="271"/>
    </row>
    <row r="102" spans="2:4" x14ac:dyDescent="0.25">
      <c r="B102" s="271"/>
      <c r="C102" s="302"/>
      <c r="D102" s="271"/>
    </row>
    <row r="103" spans="2:4" x14ac:dyDescent="0.25">
      <c r="B103" s="271"/>
      <c r="C103" s="302"/>
      <c r="D103" s="271"/>
    </row>
    <row r="104" spans="2:4" x14ac:dyDescent="0.25">
      <c r="B104" s="271"/>
      <c r="C104" s="302"/>
      <c r="D104" s="271"/>
    </row>
  </sheetData>
  <sheetProtection selectLockedCells="1"/>
  <mergeCells count="1">
    <mergeCell ref="C75:F75"/>
  </mergeCells>
  <pageMargins left="0.75" right="0.75" top="0.25" bottom="1" header="0.5" footer="0.5"/>
  <pageSetup orientation="portrait" r:id="rId1"/>
  <headerFooter alignWithMargins="0"/>
  <drawing r:id="rId2"/>
  <legacyDrawing r:id="rId3"/>
  <oleObjects>
    <mc:AlternateContent xmlns:mc="http://schemas.openxmlformats.org/markup-compatibility/2006">
      <mc:Choice Requires="x14">
        <oleObject progId="Equation.3" shapeId="8193" r:id="rId4">
          <objectPr defaultSize="0" autoPict="0" r:id="rId5">
            <anchor moveWithCells="1" sizeWithCells="1">
              <from>
                <xdr:col>2</xdr:col>
                <xdr:colOff>0</xdr:colOff>
                <xdr:row>46</xdr:row>
                <xdr:rowOff>0</xdr:rowOff>
              </from>
              <to>
                <xdr:col>3</xdr:col>
                <xdr:colOff>640080</xdr:colOff>
                <xdr:row>46</xdr:row>
                <xdr:rowOff>0</xdr:rowOff>
              </to>
            </anchor>
          </objectPr>
        </oleObject>
      </mc:Choice>
      <mc:Fallback>
        <oleObject progId="Equation.3" shapeId="8193" r:id="rId4"/>
      </mc:Fallback>
    </mc:AlternateContent>
  </oleObjec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2D720-523A-4C3D-9563-9BD050C8EFD4}">
  <sheetPr codeName="Sheet2">
    <tabColor theme="0"/>
  </sheetPr>
  <dimension ref="B2:AP34"/>
  <sheetViews>
    <sheetView showGridLines="0" workbookViewId="0">
      <selection activeCell="D15" sqref="D15"/>
    </sheetView>
  </sheetViews>
  <sheetFormatPr defaultRowHeight="14.4" x14ac:dyDescent="0.3"/>
  <cols>
    <col min="2" max="2" width="12.44140625" bestFit="1" customWidth="1"/>
    <col min="3" max="3" width="4.6640625" customWidth="1"/>
    <col min="4" max="4" width="13.5546875" bestFit="1" customWidth="1"/>
    <col min="5" max="5" width="4.6640625" customWidth="1"/>
    <col min="6" max="6" width="28.44140625" bestFit="1" customWidth="1"/>
    <col min="7" max="7" width="4.6640625" customWidth="1"/>
    <col min="8" max="8" width="13.88671875" bestFit="1" customWidth="1"/>
    <col min="9" max="9" width="4.6640625" customWidth="1"/>
    <col min="10" max="10" width="13.88671875" bestFit="1" customWidth="1"/>
    <col min="11" max="11" width="4.6640625" customWidth="1"/>
    <col min="12" max="12" width="16.33203125" bestFit="1" customWidth="1"/>
    <col min="13" max="13" width="4.6640625" customWidth="1"/>
    <col min="14" max="14" width="16.33203125" bestFit="1" customWidth="1"/>
    <col min="15" max="15" width="4.6640625" customWidth="1"/>
    <col min="16" max="16" width="15.6640625" bestFit="1" customWidth="1"/>
    <col min="17" max="17" width="4.6640625" customWidth="1"/>
    <col min="18" max="18" width="15.5546875" bestFit="1" customWidth="1"/>
    <col min="19" max="19" width="4.6640625" customWidth="1"/>
    <col min="20" max="20" width="15.6640625" bestFit="1" customWidth="1"/>
    <col min="21" max="21" width="4.6640625" customWidth="1"/>
    <col min="22" max="22" width="19.5546875" bestFit="1" customWidth="1"/>
    <col min="23" max="23" width="4.6640625" customWidth="1"/>
    <col min="24" max="24" width="18.33203125" bestFit="1" customWidth="1"/>
    <col min="25" max="25" width="4.6640625" customWidth="1"/>
    <col min="26" max="26" width="17.6640625" bestFit="1" customWidth="1"/>
    <col min="27" max="27" width="4.6640625" customWidth="1"/>
    <col min="28" max="28" width="37.33203125" bestFit="1" customWidth="1"/>
    <col min="29" max="29" width="4.6640625" customWidth="1"/>
    <col min="30" max="30" width="12.33203125" customWidth="1"/>
    <col min="31" max="31" width="4.6640625" customWidth="1"/>
    <col min="32" max="32" width="10.5546875" customWidth="1"/>
    <col min="33" max="33" width="4.6640625" customWidth="1"/>
    <col min="34" max="34" width="14.5546875" bestFit="1" customWidth="1"/>
    <col min="35" max="35" width="4.6640625" customWidth="1"/>
    <col min="36" max="36" width="16.88671875" bestFit="1" customWidth="1"/>
    <col min="37" max="37" width="4.6640625" customWidth="1"/>
    <col min="38" max="38" width="22.33203125" bestFit="1" customWidth="1"/>
    <col min="39" max="39" width="3.6640625" customWidth="1"/>
    <col min="40" max="40" width="25.44140625" bestFit="1" customWidth="1"/>
    <col min="41" max="41" width="3.6640625" customWidth="1"/>
    <col min="42" max="42" width="114" bestFit="1" customWidth="1"/>
    <col min="43" max="63" width="3.6640625" customWidth="1"/>
  </cols>
  <sheetData>
    <row r="2" spans="2:42" x14ac:dyDescent="0.3">
      <c r="B2" t="s">
        <v>2</v>
      </c>
      <c r="D2" t="s">
        <v>3</v>
      </c>
      <c r="F2" t="s">
        <v>4</v>
      </c>
      <c r="H2" t="s">
        <v>20</v>
      </c>
      <c r="J2" t="s">
        <v>33</v>
      </c>
      <c r="L2" t="s">
        <v>72</v>
      </c>
      <c r="N2" t="s">
        <v>59</v>
      </c>
      <c r="P2" t="s">
        <v>95</v>
      </c>
      <c r="R2" t="s">
        <v>105</v>
      </c>
      <c r="T2" t="s">
        <v>109</v>
      </c>
      <c r="V2" t="s">
        <v>66</v>
      </c>
      <c r="X2" t="s">
        <v>23</v>
      </c>
      <c r="Z2" t="s">
        <v>38</v>
      </c>
      <c r="AB2" t="s">
        <v>39</v>
      </c>
      <c r="AD2" t="s">
        <v>41</v>
      </c>
      <c r="AF2" t="s">
        <v>110</v>
      </c>
      <c r="AH2" t="s">
        <v>435</v>
      </c>
      <c r="AJ2" t="s">
        <v>440</v>
      </c>
      <c r="AL2" t="s">
        <v>85</v>
      </c>
      <c r="AN2" t="s">
        <v>460</v>
      </c>
      <c r="AP2" t="s">
        <v>484</v>
      </c>
    </row>
    <row r="3" spans="2:42" x14ac:dyDescent="0.3">
      <c r="B3" t="s">
        <v>8</v>
      </c>
      <c r="D3" t="s">
        <v>11</v>
      </c>
      <c r="F3" t="s">
        <v>15</v>
      </c>
      <c r="H3" t="s">
        <v>17</v>
      </c>
      <c r="J3" t="s">
        <v>17</v>
      </c>
      <c r="L3" t="s">
        <v>17</v>
      </c>
      <c r="N3" t="s">
        <v>63</v>
      </c>
      <c r="P3" t="s">
        <v>96</v>
      </c>
      <c r="R3" t="s">
        <v>106</v>
      </c>
      <c r="T3" t="s">
        <v>15</v>
      </c>
      <c r="V3" t="s">
        <v>113</v>
      </c>
      <c r="X3" t="s">
        <v>407</v>
      </c>
      <c r="Z3" t="s">
        <v>414</v>
      </c>
      <c r="AB3" t="s">
        <v>417</v>
      </c>
      <c r="AD3" t="s">
        <v>425</v>
      </c>
      <c r="AF3" t="s">
        <v>430</v>
      </c>
      <c r="AH3" t="s">
        <v>436</v>
      </c>
      <c r="AJ3" t="s">
        <v>441</v>
      </c>
      <c r="AL3" t="s">
        <v>454</v>
      </c>
      <c r="AN3" t="s">
        <v>461</v>
      </c>
      <c r="AP3" t="s">
        <v>485</v>
      </c>
    </row>
    <row r="4" spans="2:42" x14ac:dyDescent="0.3">
      <c r="B4" t="s">
        <v>9</v>
      </c>
      <c r="D4" t="s">
        <v>12</v>
      </c>
      <c r="F4" t="s">
        <v>382</v>
      </c>
      <c r="H4" t="s">
        <v>18</v>
      </c>
      <c r="J4" t="s">
        <v>18</v>
      </c>
      <c r="L4" t="s">
        <v>18</v>
      </c>
      <c r="N4" t="s">
        <v>62</v>
      </c>
      <c r="P4" t="s">
        <v>97</v>
      </c>
      <c r="R4" t="s">
        <v>107</v>
      </c>
      <c r="T4" t="s">
        <v>63</v>
      </c>
      <c r="V4" t="s">
        <v>114</v>
      </c>
      <c r="X4" t="s">
        <v>408</v>
      </c>
      <c r="Z4" t="s">
        <v>415</v>
      </c>
      <c r="AB4" t="s">
        <v>418</v>
      </c>
      <c r="AD4" t="s">
        <v>426</v>
      </c>
      <c r="AF4" t="s">
        <v>431</v>
      </c>
      <c r="AH4" t="s">
        <v>437</v>
      </c>
      <c r="AJ4" t="s">
        <v>442</v>
      </c>
      <c r="AL4" t="s">
        <v>455</v>
      </c>
      <c r="AN4" t="s">
        <v>462</v>
      </c>
      <c r="AP4" t="s">
        <v>486</v>
      </c>
    </row>
    <row r="5" spans="2:42" x14ac:dyDescent="0.3">
      <c r="B5" t="s">
        <v>10</v>
      </c>
      <c r="D5" t="s">
        <v>381</v>
      </c>
      <c r="F5" t="s">
        <v>396</v>
      </c>
      <c r="H5" t="s">
        <v>19</v>
      </c>
      <c r="L5" t="s">
        <v>73</v>
      </c>
      <c r="N5" t="s">
        <v>61</v>
      </c>
      <c r="P5" t="s">
        <v>473</v>
      </c>
      <c r="R5" t="s">
        <v>108</v>
      </c>
      <c r="T5" t="s">
        <v>112</v>
      </c>
      <c r="V5" t="s">
        <v>115</v>
      </c>
      <c r="X5" t="s">
        <v>409</v>
      </c>
      <c r="Z5" t="s">
        <v>73</v>
      </c>
      <c r="AB5" t="s">
        <v>422</v>
      </c>
      <c r="AD5" t="s">
        <v>427</v>
      </c>
      <c r="AF5" t="s">
        <v>432</v>
      </c>
      <c r="AL5" t="s">
        <v>456</v>
      </c>
      <c r="AN5" t="s">
        <v>463</v>
      </c>
      <c r="AP5" t="s">
        <v>487</v>
      </c>
    </row>
    <row r="6" spans="2:42" x14ac:dyDescent="0.3">
      <c r="B6" t="s">
        <v>380</v>
      </c>
      <c r="F6" t="s">
        <v>397</v>
      </c>
      <c r="N6" t="s">
        <v>65</v>
      </c>
      <c r="T6" t="s">
        <v>110</v>
      </c>
      <c r="V6" t="s">
        <v>117</v>
      </c>
      <c r="X6" t="s">
        <v>410</v>
      </c>
      <c r="Z6" t="s">
        <v>416</v>
      </c>
      <c r="AB6" t="s">
        <v>423</v>
      </c>
      <c r="AD6" t="s">
        <v>73</v>
      </c>
      <c r="AL6" t="s">
        <v>457</v>
      </c>
      <c r="AN6" t="s">
        <v>464</v>
      </c>
    </row>
    <row r="7" spans="2:42" x14ac:dyDescent="0.3">
      <c r="F7" t="s">
        <v>383</v>
      </c>
      <c r="N7" t="s">
        <v>64</v>
      </c>
      <c r="T7" t="s">
        <v>61</v>
      </c>
      <c r="V7" t="s">
        <v>116</v>
      </c>
      <c r="X7" t="s">
        <v>411</v>
      </c>
      <c r="AB7" t="s">
        <v>424</v>
      </c>
      <c r="AL7" t="s">
        <v>458</v>
      </c>
      <c r="AN7" t="s">
        <v>465</v>
      </c>
    </row>
    <row r="8" spans="2:42" x14ac:dyDescent="0.3">
      <c r="F8" t="s">
        <v>384</v>
      </c>
      <c r="N8" t="s">
        <v>60</v>
      </c>
      <c r="T8" t="s">
        <v>65</v>
      </c>
      <c r="X8" t="s">
        <v>64</v>
      </c>
      <c r="AB8" t="s">
        <v>419</v>
      </c>
      <c r="AL8" t="s">
        <v>459</v>
      </c>
    </row>
    <row r="9" spans="2:42" x14ac:dyDescent="0.3">
      <c r="F9" t="s">
        <v>394</v>
      </c>
      <c r="T9" t="s">
        <v>9</v>
      </c>
      <c r="AB9" t="s">
        <v>64</v>
      </c>
    </row>
    <row r="10" spans="2:42" x14ac:dyDescent="0.3">
      <c r="F10" t="s">
        <v>380</v>
      </c>
      <c r="T10" t="s">
        <v>111</v>
      </c>
      <c r="AB10" t="s">
        <v>420</v>
      </c>
    </row>
    <row r="11" spans="2:42" x14ac:dyDescent="0.3">
      <c r="F11" t="s">
        <v>14</v>
      </c>
      <c r="T11" t="s">
        <v>51</v>
      </c>
      <c r="AB11" t="s">
        <v>73</v>
      </c>
    </row>
    <row r="12" spans="2:42" x14ac:dyDescent="0.3">
      <c r="F12" t="s">
        <v>385</v>
      </c>
      <c r="T12" t="s">
        <v>60</v>
      </c>
      <c r="AB12" t="s">
        <v>421</v>
      </c>
    </row>
    <row r="13" spans="2:42" x14ac:dyDescent="0.3">
      <c r="F13" t="s">
        <v>398</v>
      </c>
      <c r="T13" t="s">
        <v>64</v>
      </c>
    </row>
    <row r="14" spans="2:42" x14ac:dyDescent="0.3">
      <c r="F14" t="s">
        <v>399</v>
      </c>
    </row>
    <row r="15" spans="2:42" x14ac:dyDescent="0.3">
      <c r="F15" t="s">
        <v>386</v>
      </c>
    </row>
    <row r="16" spans="2:42" x14ac:dyDescent="0.3">
      <c r="F16" t="s">
        <v>387</v>
      </c>
    </row>
    <row r="17" spans="6:6" x14ac:dyDescent="0.3">
      <c r="F17" t="s">
        <v>388</v>
      </c>
    </row>
    <row r="18" spans="6:6" x14ac:dyDescent="0.3">
      <c r="F18" t="s">
        <v>395</v>
      </c>
    </row>
    <row r="19" spans="6:6" x14ac:dyDescent="0.3">
      <c r="F19" t="s">
        <v>64</v>
      </c>
    </row>
    <row r="20" spans="6:6" x14ac:dyDescent="0.3">
      <c r="F20" t="s">
        <v>16</v>
      </c>
    </row>
    <row r="21" spans="6:6" x14ac:dyDescent="0.3">
      <c r="F21" t="s">
        <v>389</v>
      </c>
    </row>
    <row r="22" spans="6:6" x14ac:dyDescent="0.3">
      <c r="F22" t="s">
        <v>400</v>
      </c>
    </row>
    <row r="23" spans="6:6" x14ac:dyDescent="0.3">
      <c r="F23" t="s">
        <v>390</v>
      </c>
    </row>
    <row r="24" spans="6:6" x14ac:dyDescent="0.3">
      <c r="F24" t="s">
        <v>401</v>
      </c>
    </row>
    <row r="25" spans="6:6" x14ac:dyDescent="0.3">
      <c r="F25" t="s">
        <v>402</v>
      </c>
    </row>
    <row r="26" spans="6:6" x14ac:dyDescent="0.3">
      <c r="F26" t="s">
        <v>391</v>
      </c>
    </row>
    <row r="27" spans="6:6" x14ac:dyDescent="0.3">
      <c r="F27" t="s">
        <v>403</v>
      </c>
    </row>
    <row r="28" spans="6:6" x14ac:dyDescent="0.3">
      <c r="F28" t="s">
        <v>392</v>
      </c>
    </row>
    <row r="29" spans="6:6" x14ac:dyDescent="0.3">
      <c r="F29" t="s">
        <v>13</v>
      </c>
    </row>
    <row r="30" spans="6:6" x14ac:dyDescent="0.3">
      <c r="F30" t="s">
        <v>404</v>
      </c>
    </row>
    <row r="31" spans="6:6" x14ac:dyDescent="0.3">
      <c r="F31" t="s">
        <v>405</v>
      </c>
    </row>
    <row r="32" spans="6:6" x14ac:dyDescent="0.3">
      <c r="F32" t="s">
        <v>406</v>
      </c>
    </row>
    <row r="33" spans="6:6" x14ac:dyDescent="0.3">
      <c r="F33" t="s">
        <v>393</v>
      </c>
    </row>
    <row r="34" spans="6:6" x14ac:dyDescent="0.3">
      <c r="F34" t="s">
        <v>8</v>
      </c>
    </row>
  </sheetData>
  <pageMargins left="0.7" right="0.7" top="0.75" bottom="0.75" header="0.3" footer="0.3"/>
  <tableParts count="21">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_Flow_SignoffStatus xmlns="3236be41-214a-4d15-8379-a8d8b515f545" xsi:nil="true"/>
    <TaxCatchAll xmlns="612fe3b7-196f-4b3c-9e3f-3100a39774a0" xsi:nil="true"/>
    <lcf76f155ced4ddcb4097134ff3c332f xmlns="3236be41-214a-4d15-8379-a8d8b515f545">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C07925CE7A03864DB1EF15603F82E300" ma:contentTypeVersion="16" ma:contentTypeDescription="Create a new document." ma:contentTypeScope="" ma:versionID="ea11519070c72c73e345356da3f9f339">
  <xsd:schema xmlns:xsd="http://www.w3.org/2001/XMLSchema" xmlns:xs="http://www.w3.org/2001/XMLSchema" xmlns:p="http://schemas.microsoft.com/office/2006/metadata/properties" xmlns:ns2="612fe3b7-196f-4b3c-9e3f-3100a39774a0" xmlns:ns3="3236be41-214a-4d15-8379-a8d8b515f545" targetNamespace="http://schemas.microsoft.com/office/2006/metadata/properties" ma:root="true" ma:fieldsID="b36ec063758a6668429a08cd8b668450" ns2:_="" ns3:_="">
    <xsd:import namespace="612fe3b7-196f-4b3c-9e3f-3100a39774a0"/>
    <xsd:import namespace="3236be41-214a-4d15-8379-a8d8b515f545"/>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_Flow_SignoffStatus" minOccurs="0"/>
                <xsd:element ref="ns3:lcf76f155ced4ddcb4097134ff3c332f" minOccurs="0"/>
                <xsd:element ref="ns2:TaxCatchAll" minOccurs="0"/>
                <xsd:element ref="ns3:MediaServiceLocation"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12fe3b7-196f-4b3c-9e3f-3100a39774a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bb6116cd-d374-4996-862e-17b1c5c85c62}" ma:internalName="TaxCatchAll" ma:showField="CatchAllData" ma:web="612fe3b7-196f-4b3c-9e3f-3100a39774a0">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3236be41-214a-4d15-8379-a8d8b515f545"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_Flow_SignoffStatus" ma:index="18" nillable="true" ma:displayName="Sign-off status" ma:internalName="Sign_x002d_off_x0020_status">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f0cf060e-34f4-4df4-adf5-1c8a862d9153" ma:termSetId="09814cd3-568e-fe90-9814-8d621ff8fb84" ma:anchorId="fba54fb3-c3e1-fe81-a776-ca4b69148c4d" ma:open="true" ma:isKeyword="false">
      <xsd:complexType>
        <xsd:sequence>
          <xsd:element ref="pc:Terms" minOccurs="0" maxOccurs="1"/>
        </xsd:sequence>
      </xsd:complexType>
    </xsd:element>
    <xsd:element name="MediaServiceLocation" ma:index="22" nillable="true" ma:displayName="Location" ma:indexed="true" ma:internalName="MediaServiceLocation" ma:readOnly="true">
      <xsd:simpleType>
        <xsd:restriction base="dms:Text"/>
      </xsd:simpleType>
    </xsd:element>
    <xsd:element name="MediaServiceOCR" ma:index="23"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F007262-ED2F-4C35-BE95-051F57204645}">
  <ds:schemaRefs>
    <ds:schemaRef ds:uri="http://schemas.microsoft.com/DataMashup"/>
  </ds:schemaRefs>
</ds:datastoreItem>
</file>

<file path=customXml/itemProps2.xml><?xml version="1.0" encoding="utf-8"?>
<ds:datastoreItem xmlns:ds="http://schemas.openxmlformats.org/officeDocument/2006/customXml" ds:itemID="{3CBE5106-9ED3-454E-A815-98A318A21BCC}">
  <ds:schemaRefs>
    <ds:schemaRef ds:uri="http://purl.org/dc/elements/1.1/"/>
    <ds:schemaRef ds:uri="http://purl.org/dc/dcmitype/"/>
    <ds:schemaRef ds:uri="http://schemas.microsoft.com/office/2006/documentManagement/types"/>
    <ds:schemaRef ds:uri="http://www.w3.org/XML/1998/namespace"/>
    <ds:schemaRef ds:uri="http://schemas.microsoft.com/office/infopath/2007/PartnerControls"/>
    <ds:schemaRef ds:uri="http://schemas.openxmlformats.org/package/2006/metadata/core-properties"/>
    <ds:schemaRef ds:uri="http://purl.org/dc/terms/"/>
    <ds:schemaRef ds:uri="0c5581cf-d9d8-4ef3-bc69-dedb1bc6ff06"/>
    <ds:schemaRef ds:uri="b74e9dda-c1ce-4c94-a47a-8dcba9c82e9f"/>
    <ds:schemaRef ds:uri="http://schemas.microsoft.com/office/2006/metadata/properties"/>
  </ds:schemaRefs>
</ds:datastoreItem>
</file>

<file path=customXml/itemProps3.xml><?xml version="1.0" encoding="utf-8"?>
<ds:datastoreItem xmlns:ds="http://schemas.openxmlformats.org/officeDocument/2006/customXml" ds:itemID="{687416AE-C1B1-4C30-864E-4D5EDA2B6425}">
  <ds:schemaRefs>
    <ds:schemaRef ds:uri="http://schemas.microsoft.com/sharepoint/v3/contenttype/forms"/>
  </ds:schemaRefs>
</ds:datastoreItem>
</file>

<file path=customXml/itemProps4.xml><?xml version="1.0" encoding="utf-8"?>
<ds:datastoreItem xmlns:ds="http://schemas.openxmlformats.org/officeDocument/2006/customXml" ds:itemID="{06C88960-E157-460A-A456-E8129FBE6C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24</vt:i4>
      </vt:variant>
    </vt:vector>
  </HeadingPairs>
  <TitlesOfParts>
    <vt:vector size="38" baseType="lpstr">
      <vt:lpstr>Notes</vt:lpstr>
      <vt:lpstr>Phase 1 Data</vt:lpstr>
      <vt:lpstr>well report</vt:lpstr>
      <vt:lpstr>annualProductionByLic report</vt:lpstr>
      <vt:lpstr>Mud Tally Page - DDR</vt:lpstr>
      <vt:lpstr>Mud Tally Page - Tours</vt:lpstr>
      <vt:lpstr>Muds Comparison</vt:lpstr>
      <vt:lpstr>References &amp; Compliance Option</vt:lpstr>
      <vt:lpstr>Useful Calculations</vt:lpstr>
      <vt:lpstr>Muds </vt:lpstr>
      <vt:lpstr>Metal Calcs (Options 1 &amp;2)</vt:lpstr>
      <vt:lpstr>Salt Calculations (Option 2)</vt:lpstr>
      <vt:lpstr>Drill Stem Test Returns</vt:lpstr>
      <vt:lpstr>Lists</vt:lpstr>
      <vt:lpstr>'Drill Stem Test Returns'!Print_Area</vt:lpstr>
      <vt:lpstr>'Metal Calcs (Options 1 &amp;2)'!Print_Area</vt:lpstr>
      <vt:lpstr>'Salt Calculations (Option 2)'!Print_Area</vt:lpstr>
      <vt:lpstr>TblAboveBelow</vt:lpstr>
      <vt:lpstr>TblActivityType</vt:lpstr>
      <vt:lpstr>TblAerialType</vt:lpstr>
      <vt:lpstr>TblAssetStatus</vt:lpstr>
      <vt:lpstr>TblAssetType</vt:lpstr>
      <vt:lpstr>TblDisposalMethod</vt:lpstr>
      <vt:lpstr>TblDrillingType</vt:lpstr>
      <vt:lpstr>TblFacilityTypes</vt:lpstr>
      <vt:lpstr>TblFlarePits</vt:lpstr>
      <vt:lpstr>TblFluidDisposal</vt:lpstr>
      <vt:lpstr>TblOptions</vt:lpstr>
      <vt:lpstr>TblP1Results</vt:lpstr>
      <vt:lpstr>TblResponse</vt:lpstr>
      <vt:lpstr>TblResponse2</vt:lpstr>
      <vt:lpstr>TblResponse3</vt:lpstr>
      <vt:lpstr>TblSiteInfoPS</vt:lpstr>
      <vt:lpstr>TblStakeholderType</vt:lpstr>
      <vt:lpstr>TblStructureStatus</vt:lpstr>
      <vt:lpstr>TblSumpType</vt:lpstr>
      <vt:lpstr>TblSurrLandUse</vt:lpstr>
      <vt:lpstr>TblSurrLandUse2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Wendy</dc:creator>
  <cp:lastModifiedBy>Paulette Bouchard</cp:lastModifiedBy>
  <dcterms:created xsi:type="dcterms:W3CDTF">2021-01-05T22:34:07Z</dcterms:created>
  <dcterms:modified xsi:type="dcterms:W3CDTF">2024-02-26T22:55:08Z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0x010100C07925CE7A03864DB1EF15603F82E300</vt:lpwstr>
  </property>
</Properties>
</file>